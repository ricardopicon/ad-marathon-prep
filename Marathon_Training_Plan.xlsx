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yyyy-mm-dd"/>
    <numFmt numFmtId="171" formatCode="dd-mmm-yy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1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14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38" t="inlineStr">
        <is>
          <t>-</t>
        </is>
      </c>
      <c r="L2" s="15" t="inlineStr">
        <is>
          <t>Y</t>
        </is>
      </c>
      <c r="M2" s="15" t="n"/>
      <c r="N2" s="48" t="n"/>
      <c r="O2" s="49">
        <f>IF(AND(ISNUMBER(M2),ISNUMBER(N2),M2&gt;0),(N2/M2)/1440,"")</f>
        <v/>
      </c>
      <c r="P2" s="15" t="n">
        <v>5</v>
      </c>
      <c r="Q2" s="15" t="inlineStr">
        <is>
          <t>Great</t>
        </is>
      </c>
      <c r="R2" s="15" t="n"/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14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38" t="inlineStr">
        <is>
          <t>Easy run</t>
        </is>
      </c>
      <c r="L3" s="15" t="inlineStr">
        <is>
          <t>Y</t>
        </is>
      </c>
      <c r="M3" s="15" t="n">
        <v>4</v>
      </c>
      <c r="N3" s="48" t="n">
        <v>24</v>
      </c>
      <c r="O3" s="49">
        <f>IF(AND(ISNUMBER(M3),ISNUMBER(N3),M3&gt;0),(N3/M3)/1440,"")</f>
        <v/>
      </c>
      <c r="P3" s="15" t="n">
        <v>4</v>
      </c>
      <c r="Q3" s="15" t="inlineStr">
        <is>
          <t>Great</t>
        </is>
      </c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14" t="n">
        <v>46226</v>
      </c>
      <c r="E4" s="13" t="inlineStr">
        <is>
          <t>Thursday</t>
        </is>
      </c>
      <c r="F4" s="13" t="inlineStr">
        <is>
          <t>Run</t>
        </is>
      </c>
      <c r="G4" s="13" t="inlineStr">
        <is>
          <t>Easy</t>
        </is>
      </c>
      <c r="H4" s="13" t="n">
        <v>4</v>
      </c>
      <c r="I4" s="13" t="inlineStr">
        <is>
          <t>Easy</t>
        </is>
      </c>
      <c r="J4" s="13" t="inlineStr">
        <is>
          <t>Easy effort, focus on consistent light footstrike</t>
        </is>
      </c>
      <c r="K4" s="38" t="inlineStr">
        <is>
          <t>Easy run</t>
        </is>
      </c>
      <c r="L4" s="15" t="inlineStr">
        <is>
          <t>Y</t>
        </is>
      </c>
      <c r="M4" s="15" t="n">
        <v>4</v>
      </c>
      <c r="N4" s="48" t="n">
        <v>24</v>
      </c>
      <c r="O4" s="49">
        <f>IF(AND(ISNUMBER(M4),ISNUMBER(N4),M4&gt;0),(N4/M4)/1440,"")</f>
        <v/>
      </c>
      <c r="P4" s="15" t="n">
        <v>4</v>
      </c>
      <c r="Q4" s="15" t="inlineStr">
        <is>
          <t>Good</t>
        </is>
      </c>
      <c r="R4" s="15" t="inlineStr">
        <is>
          <t>Paired with shoulder training</t>
        </is>
      </c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14" t="n">
        <v>46227</v>
      </c>
      <c r="E5" s="13" t="inlineStr">
        <is>
          <t>Friday</t>
        </is>
      </c>
      <c r="F5" s="13" t="inlineStr">
        <is>
          <t>Run</t>
        </is>
      </c>
      <c r="G5" s="13" t="inlineStr">
        <is>
          <t>Baseline Time Trial</t>
        </is>
      </c>
      <c r="H5" s="13" t="n">
        <v>5</v>
      </c>
      <c r="I5" s="13" t="inlineStr">
        <is>
          <t>Max effort (5K)</t>
        </is>
      </c>
      <c r="J5" s="13" t="inlineStr">
        <is>
          <t>Baseline 5K time trial - run at a hard, sustainable effort. Result calibrates all pace zones on the Overview sheet</t>
        </is>
      </c>
      <c r="K5" s="38" t="inlineStr">
        <is>
          <t>Baseline 5K time trial</t>
        </is>
      </c>
      <c r="L5" s="15" t="inlineStr">
        <is>
          <t>Y</t>
        </is>
      </c>
      <c r="M5" s="15" t="n">
        <v>5</v>
      </c>
      <c r="N5" s="48" t="n">
        <v>23</v>
      </c>
      <c r="O5" s="49">
        <f>IF(AND(ISNUMBER(M5),ISNUMBER(N5),M5&gt;0),(N5/M5)/1440,"")</f>
        <v/>
      </c>
      <c r="P5" s="15" t="n">
        <v>7</v>
      </c>
      <c r="Q5" s="15" t="inlineStr">
        <is>
          <t>Good</t>
        </is>
      </c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14" t="n">
        <v>46227</v>
      </c>
      <c r="E6" s="13" t="inlineStr">
        <is>
          <t>Friday</t>
        </is>
      </c>
      <c r="F6" s="13" t="inlineStr">
        <is>
          <t>Gym</t>
        </is>
      </c>
      <c r="G6" s="13" t="inlineStr">
        <is>
          <t>Pull (back)</t>
        </is>
      </c>
      <c r="H6" s="13" t="n"/>
      <c r="I6" s="13" t="inlineStr">
        <is>
          <t>-</t>
        </is>
      </c>
      <c r="J6" s="13" t="inlineStr">
        <is>
          <t>Pull day A + time trial</t>
        </is>
      </c>
      <c r="K6" s="38" t="inlineStr">
        <is>
          <t>-</t>
        </is>
      </c>
      <c r="L6" s="15" t="inlineStr">
        <is>
          <t>N</t>
        </is>
      </c>
      <c r="M6" s="15" t="n"/>
      <c r="N6" s="48" t="n"/>
      <c r="O6" s="49">
        <f>IF(AND(ISNUMBER(M6),ISNUMBER(N6),M6&gt;0),(N6/M6)/1440,"")</f>
        <v/>
      </c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14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38" t="inlineStr">
        <is>
          <t>Long run - easy</t>
        </is>
      </c>
      <c r="L7" s="15" t="inlineStr">
        <is>
          <t>Y</t>
        </is>
      </c>
      <c r="M7" s="15" t="n">
        <v>8</v>
      </c>
      <c r="N7" s="48" t="n">
        <v>240</v>
      </c>
      <c r="O7" s="49">
        <f>IF(AND(ISNUMBER(M7),ISNUMBER(N7),M7&gt;0),(N7/M7)/1440,"")</f>
        <v/>
      </c>
      <c r="P7" s="15" t="n">
        <v>1</v>
      </c>
      <c r="Q7" s="15" t="inlineStr">
        <is>
          <t>Good</t>
        </is>
      </c>
      <c r="R7" s="15" t="inlineStr">
        <is>
          <t>Walked while playing Golf</t>
        </is>
      </c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1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38" t="inlineStr">
        <is>
          <t>-</t>
        </is>
      </c>
      <c r="L8" s="15" t="inlineStr">
        <is>
          <t>Y</t>
        </is>
      </c>
      <c r="M8" s="15" t="n"/>
      <c r="N8" s="48" t="n"/>
      <c r="O8" s="49">
        <f>IF(AND(ISNUMBER(M8),ISNUMBER(N8),M8&gt;0),(N8/M8)/1440,"")</f>
        <v/>
      </c>
      <c r="P8" s="15" t="n"/>
      <c r="Q8" s="15" t="inlineStr">
        <is>
          <t>Great</t>
        </is>
      </c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14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38" t="inlineStr">
        <is>
          <t>-</t>
        </is>
      </c>
      <c r="L9" s="15" t="n"/>
      <c r="M9" s="15" t="n"/>
      <c r="N9" s="48" t="n"/>
      <c r="O9" s="49">
        <f>IF(AND(ISNUMBER(M9),ISNUMBER(N9),M9&gt;0),(N9/M9)/1440,"")</f>
        <v/>
      </c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14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38" t="inlineStr">
        <is>
          <t>Easy run</t>
        </is>
      </c>
      <c r="L10" s="15" t="inlineStr">
        <is>
          <t>Y</t>
        </is>
      </c>
      <c r="M10" s="15" t="n">
        <v>8</v>
      </c>
      <c r="N10" s="48" t="n">
        <v>90</v>
      </c>
      <c r="O10" s="49">
        <f>IF(AND(ISNUMBER(M10),ISNUMBER(N10),M10&gt;0),(N10/M10)/1440,"")</f>
        <v/>
      </c>
      <c r="P10" s="15" t="n">
        <v>7</v>
      </c>
      <c r="Q10" s="15" t="inlineStr">
        <is>
          <t>Good</t>
        </is>
      </c>
      <c r="R10" s="15" t="inlineStr">
        <is>
          <t>Replaced by football game</t>
        </is>
      </c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14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38" t="inlineStr">
        <is>
          <t>12-min tempo</t>
        </is>
      </c>
      <c r="L11" s="15" t="inlineStr">
        <is>
          <t>Y</t>
        </is>
      </c>
      <c r="M11" s="15" t="n">
        <v>6</v>
      </c>
      <c r="N11" s="48" t="n">
        <v>33</v>
      </c>
      <c r="O11" s="49">
        <f>IF(AND(ISNUMBER(M11),ISNUMBER(N11),M11&gt;0),(N11/M11)/1440,"")</f>
        <v/>
      </c>
      <c r="P11" s="15" t="n">
        <v>6</v>
      </c>
      <c r="Q11" s="15" t="inlineStr">
        <is>
          <t>Tired</t>
        </is>
      </c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14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Pull (back)</t>
        </is>
      </c>
      <c r="H12" s="13" t="n"/>
      <c r="I12" s="13" t="inlineStr">
        <is>
          <t>-</t>
        </is>
      </c>
      <c r="J12" s="13" t="inlineStr">
        <is>
          <t>Pull day + easy run</t>
        </is>
      </c>
      <c r="K12" s="38" t="inlineStr">
        <is>
          <t>-</t>
        </is>
      </c>
      <c r="L12" s="15" t="inlineStr">
        <is>
          <t>Y</t>
        </is>
      </c>
      <c r="M12" s="15" t="n"/>
      <c r="N12" s="48" t="n"/>
      <c r="O12" s="49">
        <f>IF(AND(ISNUMBER(M12),ISNUMBER(N12),M12&gt;0),(N12/M12)/1440,"")</f>
        <v/>
      </c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14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38" t="inlineStr">
        <is>
          <t>Easy run</t>
        </is>
      </c>
      <c r="L13" s="15" t="inlineStr">
        <is>
          <t>Y</t>
        </is>
      </c>
      <c r="M13" s="15" t="n">
        <v>6</v>
      </c>
      <c r="N13" s="48" t="n">
        <v>36</v>
      </c>
      <c r="O13" s="49">
        <f>IF(AND(ISNUMBER(M13),ISNUMBER(N13),M13&gt;0),(N13/M13)/1440,"")</f>
        <v/>
      </c>
      <c r="P13" s="15" t="n">
        <v>6</v>
      </c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14" t="n">
        <v>46233</v>
      </c>
      <c r="E14" s="13" t="inlineStr">
        <is>
          <t>Thursday</t>
        </is>
      </c>
      <c r="F14" s="13" t="inlineStr">
        <is>
          <t>Run</t>
        </is>
      </c>
      <c r="G14" s="13" t="inlineStr">
        <is>
          <t>Medium-long</t>
        </is>
      </c>
      <c r="H14" s="13" t="n">
        <v>5</v>
      </c>
      <c r="I14" s="13" t="inlineStr">
        <is>
          <t>Steady</t>
        </is>
      </c>
      <c r="J14" s="13" t="inlineStr">
        <is>
          <t>Medium-long / steady run</t>
        </is>
      </c>
      <c r="K14" s="38" t="inlineStr">
        <is>
          <t>Medium-long - steady</t>
        </is>
      </c>
      <c r="L14" s="15" t="inlineStr">
        <is>
          <t>Y</t>
        </is>
      </c>
      <c r="M14" s="15" t="n">
        <v>5</v>
      </c>
      <c r="N14" s="48" t="n">
        <v>30</v>
      </c>
      <c r="O14" s="49">
        <f>IF(AND(ISNUMBER(M14),ISNUMBER(N14),M14&gt;0),(N14/M14)/1440,"")</f>
        <v/>
      </c>
      <c r="P14" s="15" t="n">
        <v>7</v>
      </c>
      <c r="Q14" s="15" t="inlineStr">
        <is>
          <t>Tired</t>
        </is>
      </c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14" t="n">
        <v>46234</v>
      </c>
      <c r="E15" s="13" t="inlineStr">
        <is>
          <t>Friday</t>
        </is>
      </c>
      <c r="F15" s="13" t="inlineStr">
        <is>
          <t>Gym</t>
        </is>
      </c>
      <c r="G15" s="13" t="inlineStr">
        <is>
          <t>Push (chest)</t>
        </is>
      </c>
      <c r="H15" s="13" t="n"/>
      <c r="I15" s="13" t="inlineStr">
        <is>
          <t>-</t>
        </is>
      </c>
      <c r="J15" s="13" t="inlineStr">
        <is>
          <t>Push day</t>
        </is>
      </c>
      <c r="K15" s="38" t="inlineStr">
        <is>
          <t>-</t>
        </is>
      </c>
      <c r="L15" s="15" t="inlineStr">
        <is>
          <t>Y</t>
        </is>
      </c>
      <c r="M15" s="15" t="n"/>
      <c r="N15" s="48" t="n"/>
      <c r="O15" s="49">
        <f>IF(AND(ISNUMBER(M15),ISNUMBER(N15),M15&gt;0),(N15/M15)/1440,"")</f>
        <v/>
      </c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14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38" t="inlineStr">
        <is>
          <t>Long run - easy</t>
        </is>
      </c>
      <c r="L16" s="15" t="inlineStr">
        <is>
          <t>Y</t>
        </is>
      </c>
      <c r="M16" s="15" t="n">
        <v>10</v>
      </c>
      <c r="N16" s="48" t="n">
        <v>55</v>
      </c>
      <c r="O16" s="49">
        <f>IF(AND(ISNUMBER(M16),ISNUMBER(N16),M16&gt;0),(N16/M16)/1440,"")</f>
        <v/>
      </c>
      <c r="P16" s="15" t="n">
        <v>6</v>
      </c>
      <c r="Q16" s="15" t="inlineStr">
        <is>
          <t>Good</t>
        </is>
      </c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1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38" t="inlineStr">
        <is>
          <t>-</t>
        </is>
      </c>
      <c r="L17" s="15" t="n"/>
      <c r="M17" s="15" t="n"/>
      <c r="N17" s="48" t="n"/>
      <c r="O17" s="49">
        <f>IF(AND(ISNUMBER(M17),ISNUMBER(N17),M17&gt;0),(N17/M17)/1440,"")</f>
        <v/>
      </c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14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38" t="inlineStr">
        <is>
          <t>-</t>
        </is>
      </c>
      <c r="L18" s="15" t="n"/>
      <c r="M18" s="15" t="n"/>
      <c r="N18" s="48" t="n"/>
      <c r="O18" s="49">
        <f>IF(AND(ISNUMBER(M18),ISNUMBER(N18),M18&gt;0),(N18/M18)/1440,"")</f>
        <v/>
      </c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14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38" t="inlineStr">
        <is>
          <t>Easy run</t>
        </is>
      </c>
      <c r="L19" s="15" t="n"/>
      <c r="M19" s="15" t="n"/>
      <c r="N19" s="48" t="n"/>
      <c r="O19" s="49">
        <f>IF(AND(ISNUMBER(M19),ISNUMBER(N19),M19&gt;0),(N19/M19)/1440,"")</f>
        <v/>
      </c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14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38" t="inlineStr">
        <is>
          <t>6 x 400 m</t>
        </is>
      </c>
      <c r="L20" s="15" t="n"/>
      <c r="M20" s="15" t="n"/>
      <c r="N20" s="48" t="n"/>
      <c r="O20" s="49">
        <f>IF(AND(ISNUMBER(M20),ISNUMBER(N20),M20&gt;0),(N20/M20)/1440,"")</f>
        <v/>
      </c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14" t="n">
        <v>46239</v>
      </c>
      <c r="E21" s="13" t="inlineStr">
        <is>
          <t>Wednesday</t>
        </is>
      </c>
      <c r="F21" s="13" t="inlineStr">
        <is>
          <t>Rest</t>
        </is>
      </c>
      <c r="G21" s="13" t="inlineStr">
        <is>
          <t>Full rest</t>
        </is>
      </c>
      <c r="H21" s="13" t="n"/>
      <c r="I21" s="13" t="inlineStr">
        <is>
          <t>-</t>
        </is>
      </c>
      <c r="J21" s="13" t="inlineStr">
        <is>
          <t>Full rest - reduced from 6 to 4 training days/week</t>
        </is>
      </c>
      <c r="K21" s="38" t="inlineStr">
        <is>
          <t>-</t>
        </is>
      </c>
      <c r="L21" s="15" t="n"/>
      <c r="M21" s="15" t="n"/>
      <c r="N21" s="48" t="n"/>
      <c r="O21" s="49">
        <f>IF(AND(ISNUMBER(M21),ISNUMBER(N21),M21&gt;0),(N21/M21)/1440,"")</f>
        <v/>
      </c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14" t="n">
        <v>46240</v>
      </c>
      <c r="E22" s="13" t="inlineStr">
        <is>
          <t>Thursday</t>
        </is>
      </c>
      <c r="F22" s="13" t="inlineStr">
        <is>
          <t>Run</t>
        </is>
      </c>
      <c r="G22" s="13" t="inlineStr">
        <is>
          <t>Medium-long</t>
        </is>
      </c>
      <c r="H22" s="13" t="n">
        <v>6</v>
      </c>
      <c r="I22" s="13" t="inlineStr">
        <is>
          <t>Steady</t>
        </is>
      </c>
      <c r="J22" s="13" t="inlineStr">
        <is>
          <t>Medium-long / steady run</t>
        </is>
      </c>
      <c r="K22" s="38" t="inlineStr">
        <is>
          <t>Medium-long - steady</t>
        </is>
      </c>
      <c r="L22" s="15" t="n"/>
      <c r="M22" s="15" t="n"/>
      <c r="N22" s="48" t="n"/>
      <c r="O22" s="49">
        <f>IF(AND(ISNUMBER(M23),ISNUMBER(N23),M23&gt;0),(N23/M23)/1440,"")</f>
        <v/>
      </c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14" t="n">
        <v>46241</v>
      </c>
      <c r="E23" s="13" t="inlineStr">
        <is>
          <t>Friday</t>
        </is>
      </c>
      <c r="F23" s="13" t="inlineStr">
        <is>
          <t>Cross-train</t>
        </is>
      </c>
      <c r="G23" s="13" t="inlineStr">
        <is>
          <t>Elliptical + Hip/Knee</t>
        </is>
      </c>
      <c r="H23" s="13" t="n"/>
      <c r="I23" s="13" t="inlineStr">
        <is>
          <t>Easy-moderate</t>
        </is>
      </c>
      <c r="J23" s="13" t="inlineStr">
        <is>
          <t>Low-impact cross-training + hip/knee injury-prevention work (replaces Gym Push day)</t>
        </is>
      </c>
      <c r="K23" s="38" t="inlineStr">
        <is>
          <t>Elliptical + hip/knee circuit</t>
        </is>
      </c>
      <c r="L23" s="15" t="n"/>
      <c r="M23" s="15" t="n"/>
      <c r="N23" s="48" t="n"/>
      <c r="O23" s="49">
        <f>IF(AND(ISNUMBER(M24),ISNUMBER(N24),M24&gt;0),(N24/M24)/1440,"")</f>
        <v/>
      </c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14" t="n">
        <v>46242</v>
      </c>
      <c r="E24" s="13" t="inlineStr">
        <is>
          <t>Saturday</t>
        </is>
      </c>
      <c r="F24" s="13" t="inlineStr">
        <is>
          <t>Run</t>
        </is>
      </c>
      <c r="G24" s="13" t="inlineStr">
        <is>
          <t>Long run</t>
        </is>
      </c>
      <c r="H24" s="13" t="n">
        <v>12</v>
      </c>
      <c r="I24" s="13" t="inlineStr">
        <is>
          <t>Easy</t>
        </is>
      </c>
      <c r="J24" s="13" t="inlineStr">
        <is>
          <t>Long run - mostly easy effort, this is about time on feet and aerobic endurance</t>
        </is>
      </c>
      <c r="K24" s="38" t="inlineStr">
        <is>
          <t>Long run - easy</t>
        </is>
      </c>
      <c r="L24" s="15" t="n"/>
      <c r="M24" s="15" t="n"/>
      <c r="N24" s="48" t="n"/>
      <c r="O24" s="49">
        <f>IF(AND(ISNUMBER(M25),ISNUMBER(N25),M25&gt;0),(N25/M25)/1440,"")</f>
        <v/>
      </c>
      <c r="P24" s="15" t="n"/>
      <c r="Q24" s="15" t="n"/>
      <c r="R24" s="15" t="n"/>
    </row>
    <row r="25">
      <c r="A25" s="16" t="n">
        <v>4</v>
      </c>
      <c r="B25" s="16" t="inlineStr">
        <is>
          <t>Base building</t>
        </is>
      </c>
      <c r="C25" s="16" t="inlineStr">
        <is>
          <t>No</t>
        </is>
      </c>
      <c r="D25" s="17" t="n">
        <v>46243</v>
      </c>
      <c r="E25" s="16" t="inlineStr">
        <is>
          <t>Sunday</t>
        </is>
      </c>
      <c r="F25" s="16" t="inlineStr">
        <is>
          <t>Rest</t>
        </is>
      </c>
      <c r="G25" s="16" t="inlineStr">
        <is>
          <t>Full rest</t>
        </is>
      </c>
      <c r="H25" s="16" t="n"/>
      <c r="I25" s="16" t="inlineStr">
        <is>
          <t>-</t>
        </is>
      </c>
      <c r="J25" s="16" t="inlineStr">
        <is>
          <t>Recovery after Saturday's long run</t>
        </is>
      </c>
      <c r="K25" s="38" t="inlineStr">
        <is>
          <t>-</t>
        </is>
      </c>
      <c r="L25" s="15" t="n"/>
      <c r="M25" s="15" t="n"/>
      <c r="N25" s="48" t="n"/>
      <c r="O25" s="49">
        <f>IF(AND(ISNUMBER(M26),ISNUMBER(N26),M26&gt;0),(N26/M26)/1440,"")</f>
        <v/>
      </c>
      <c r="P25" s="15" t="n"/>
      <c r="Q25" s="15" t="n"/>
      <c r="R25" s="15" t="n"/>
    </row>
    <row r="26">
      <c r="A26" s="13" t="n">
        <v>4</v>
      </c>
      <c r="B26" s="13" t="inlineStr">
        <is>
          <t>Base building</t>
        </is>
      </c>
      <c r="C26" s="13" t="inlineStr">
        <is>
          <t>No</t>
        </is>
      </c>
      <c r="D26" s="14" t="n">
        <v>46244</v>
      </c>
      <c r="E26" s="13" t="inlineStr">
        <is>
          <t>Monday</t>
        </is>
      </c>
      <c r="F26" s="13" t="inlineStr">
        <is>
          <t>Gym</t>
        </is>
      </c>
      <c r="G26" s="13" t="inlineStr">
        <is>
          <t>Legs</t>
        </is>
      </c>
      <c r="H26" s="13" t="n"/>
      <c r="I26" s="13" t="inlineStr">
        <is>
          <t>-</t>
        </is>
      </c>
      <c r="J26" s="13" t="inlineStr">
        <is>
          <t>Legs day + easy run</t>
        </is>
      </c>
      <c r="K26" s="38" t="inlineStr">
        <is>
          <t>-</t>
        </is>
      </c>
      <c r="L26" s="15" t="n"/>
      <c r="M26" s="15" t="n"/>
      <c r="N26" s="48" t="n"/>
      <c r="O26" s="49">
        <f>IF(AND(ISNUMBER(M27),ISNUMBER(N27),M27&gt;0),(N27/M27)/1440,"")</f>
        <v/>
      </c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14" t="n">
        <v>46244</v>
      </c>
      <c r="E27" s="13" t="inlineStr">
        <is>
          <t>Monday</t>
        </is>
      </c>
      <c r="F27" s="13" t="inlineStr">
        <is>
          <t>Run</t>
        </is>
      </c>
      <c r="G27" s="13" t="inlineStr">
        <is>
          <t>Easy</t>
        </is>
      </c>
      <c r="H27" s="13" t="n">
        <v>4.5</v>
      </c>
      <c r="I27" s="13" t="inlineStr">
        <is>
          <t>Easy</t>
        </is>
      </c>
      <c r="J27" s="13" t="inlineStr">
        <is>
          <t>Easy/conversational pace</t>
        </is>
      </c>
      <c r="K27" s="38" t="inlineStr">
        <is>
          <t>Easy run</t>
        </is>
      </c>
      <c r="L27" s="15" t="n"/>
      <c r="M27" s="15" t="n"/>
      <c r="N27" s="48" t="n"/>
      <c r="O27" s="49">
        <f>IF(AND(ISNUMBER(M28),ISNUMBER(N28),M28&gt;0),(N28/M28)/1440,"")</f>
        <v/>
      </c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14" t="n">
        <v>46245</v>
      </c>
      <c r="E28" s="13" t="inlineStr">
        <is>
          <t>Tuesday</t>
        </is>
      </c>
      <c r="F28" s="13" t="inlineStr">
        <is>
          <t>Run</t>
        </is>
      </c>
      <c r="G28" s="13" t="inlineStr">
        <is>
          <t>Tempo</t>
        </is>
      </c>
      <c r="H28" s="13" t="n">
        <v>5.5</v>
      </c>
      <c r="I28" s="13" t="inlineStr">
        <is>
          <t>Tempo</t>
        </is>
      </c>
      <c r="J28" s="13" t="inlineStr">
        <is>
          <t>Continuous tempo block within the session, building duration through the phase</t>
        </is>
      </c>
      <c r="K28" s="38" t="inlineStr">
        <is>
          <t>15-min tempo</t>
        </is>
      </c>
      <c r="L28" s="15" t="n"/>
      <c r="M28" s="15" t="n"/>
      <c r="N28" s="48" t="n"/>
      <c r="O28" s="49">
        <f>IF(AND(ISNUMBER(M29),ISNUMBER(N29),M29&gt;0),(N29/M29)/1440,"")</f>
        <v/>
      </c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14" t="n">
        <v>46246</v>
      </c>
      <c r="E29" s="13" t="inlineStr">
        <is>
          <t>Wednesday</t>
        </is>
      </c>
      <c r="F29" s="13" t="inlineStr">
        <is>
          <t>Rest</t>
        </is>
      </c>
      <c r="G29" s="13" t="inlineStr">
        <is>
          <t>Full rest</t>
        </is>
      </c>
      <c r="H29" s="13" t="n"/>
      <c r="I29" s="13" t="inlineStr">
        <is>
          <t>-</t>
        </is>
      </c>
      <c r="J29" s="13" t="inlineStr">
        <is>
          <t>Full rest - reduced from 6 to 4 training days/week</t>
        </is>
      </c>
      <c r="K29" s="38" t="inlineStr">
        <is>
          <t>-</t>
        </is>
      </c>
      <c r="L29" s="15" t="n"/>
      <c r="M29" s="15" t="n"/>
      <c r="N29" s="48" t="n"/>
      <c r="O29" s="49">
        <f>IF(AND(ISNUMBER(M30),ISNUMBER(N30),M30&gt;0),(N30/M30)/1440,"")</f>
        <v/>
      </c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14" t="n">
        <v>46247</v>
      </c>
      <c r="E30" s="13" t="inlineStr">
        <is>
          <t>Thursday</t>
        </is>
      </c>
      <c r="F30" s="13" t="inlineStr">
        <is>
          <t>Run</t>
        </is>
      </c>
      <c r="G30" s="13" t="inlineStr">
        <is>
          <t>Medium-long</t>
        </is>
      </c>
      <c r="H30" s="13" t="n">
        <v>6</v>
      </c>
      <c r="I30" s="13" t="inlineStr">
        <is>
          <t>Steady</t>
        </is>
      </c>
      <c r="J30" s="13" t="inlineStr">
        <is>
          <t>Medium-long / steady run</t>
        </is>
      </c>
      <c r="K30" s="38" t="inlineStr">
        <is>
          <t>Medium-long - steady</t>
        </is>
      </c>
      <c r="L30" s="15" t="n"/>
      <c r="M30" s="15" t="n"/>
      <c r="N30" s="48" t="n"/>
      <c r="O30" s="49">
        <f>IF(AND(ISNUMBER(M32),ISNUMBER(N32),M32&gt;0),(N32/M32)/1440,"")</f>
        <v/>
      </c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14" t="n">
        <v>46248</v>
      </c>
      <c r="E31" s="13" t="inlineStr">
        <is>
          <t>Friday</t>
        </is>
      </c>
      <c r="F31" s="13" t="inlineStr">
        <is>
          <t>Cross-train</t>
        </is>
      </c>
      <c r="G31" s="13" t="inlineStr">
        <is>
          <t>Elliptical + Hip/Knee</t>
        </is>
      </c>
      <c r="H31" s="13" t="n"/>
      <c r="I31" s="13" t="inlineStr">
        <is>
          <t>Easy-moderate</t>
        </is>
      </c>
      <c r="J31" s="13" t="inlineStr">
        <is>
          <t>Low-impact cross-training + hip/knee injury-prevention work (replaces Gym Push day)</t>
        </is>
      </c>
      <c r="K31" s="38" t="inlineStr">
        <is>
          <t>Elliptical + hip/knee circuit</t>
        </is>
      </c>
      <c r="L31" s="15" t="n"/>
      <c r="M31" s="15" t="n"/>
      <c r="N31" s="48" t="n"/>
      <c r="O31" s="49">
        <f>IF(AND(ISNUMBER(M33),ISNUMBER(N33),M33&gt;0),(N33/M33)/1440,"")</f>
        <v/>
      </c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14" t="n">
        <v>46249</v>
      </c>
      <c r="E32" s="13" t="inlineStr">
        <is>
          <t>Saturday</t>
        </is>
      </c>
      <c r="F32" s="13" t="inlineStr">
        <is>
          <t>Run</t>
        </is>
      </c>
      <c r="G32" s="13" t="inlineStr">
        <is>
          <t>Long run</t>
        </is>
      </c>
      <c r="H32" s="13" t="n">
        <v>14</v>
      </c>
      <c r="I32" s="13" t="inlineStr">
        <is>
          <t>Easy</t>
        </is>
      </c>
      <c r="J32" s="13" t="inlineStr">
        <is>
          <t>Long run - mostly easy effort, this is about time on feet and aerobic endurance</t>
        </is>
      </c>
      <c r="K32" s="38" t="inlineStr">
        <is>
          <t>Long run - easy</t>
        </is>
      </c>
      <c r="L32" s="15" t="n"/>
      <c r="M32" s="15" t="n"/>
      <c r="N32" s="48" t="n"/>
      <c r="O32" s="49">
        <f>IF(AND(ISNUMBER(M34),ISNUMBER(N34),M34&gt;0),(N34/M34)/1440,"")</f>
        <v/>
      </c>
      <c r="P32" s="15" t="n"/>
      <c r="Q32" s="15" t="n"/>
      <c r="R32" s="15" t="n"/>
    </row>
    <row r="33">
      <c r="A33" s="18" t="n">
        <v>5</v>
      </c>
      <c r="B33" s="18" t="inlineStr">
        <is>
          <t>Base building</t>
        </is>
      </c>
      <c r="C33" s="18" t="inlineStr">
        <is>
          <t>Yes</t>
        </is>
      </c>
      <c r="D33" s="19" t="n">
        <v>46250</v>
      </c>
      <c r="E33" s="18" t="inlineStr">
        <is>
          <t>Sunday</t>
        </is>
      </c>
      <c r="F33" s="18" t="inlineStr">
        <is>
          <t>Rest</t>
        </is>
      </c>
      <c r="G33" s="18" t="inlineStr">
        <is>
          <t>Full rest</t>
        </is>
      </c>
      <c r="H33" s="18" t="n"/>
      <c r="I33" s="18" t="inlineStr">
        <is>
          <t>-</t>
        </is>
      </c>
      <c r="J33" s="18" t="inlineStr">
        <is>
          <t>Recovery after Saturday's long run - deload week, prioritize sleep/nutrition</t>
        </is>
      </c>
      <c r="K33" s="39" t="inlineStr">
        <is>
          <t>-</t>
        </is>
      </c>
      <c r="L33" s="20" t="n"/>
      <c r="M33" s="20" t="n"/>
      <c r="N33" s="50" t="n"/>
      <c r="O33" s="51">
        <f>IF(AND(ISNUMBER(M35),ISNUMBER(N35),M35&gt;0),(N35/M35)/1440,"")</f>
        <v/>
      </c>
      <c r="P33" s="20" t="n"/>
      <c r="Q33" s="20" t="n"/>
      <c r="R33" s="20" t="n"/>
    </row>
    <row r="34">
      <c r="A34" s="21" t="n">
        <v>5</v>
      </c>
      <c r="B34" s="21" t="inlineStr">
        <is>
          <t>Base building</t>
        </is>
      </c>
      <c r="C34" s="21" t="inlineStr">
        <is>
          <t>Yes</t>
        </is>
      </c>
      <c r="D34" s="22" t="n">
        <v>46251</v>
      </c>
      <c r="E34" s="21" t="inlineStr">
        <is>
          <t>Monday</t>
        </is>
      </c>
      <c r="F34" s="21" t="inlineStr">
        <is>
          <t>Gym</t>
        </is>
      </c>
      <c r="G34" s="21" t="inlineStr">
        <is>
          <t>Legs</t>
        </is>
      </c>
      <c r="H34" s="21" t="n"/>
      <c r="I34" s="21" t="inlineStr">
        <is>
          <t>-</t>
        </is>
      </c>
      <c r="J34" s="21" t="inlineStr">
        <is>
          <t>Legs day + easy run</t>
        </is>
      </c>
      <c r="K34" s="39" t="inlineStr">
        <is>
          <t>-</t>
        </is>
      </c>
      <c r="L34" s="20" t="n"/>
      <c r="M34" s="20" t="n"/>
      <c r="N34" s="50" t="n"/>
      <c r="O34" s="51">
        <f>IF(AND(ISNUMBER(M36),ISNUMBER(N36),M36&gt;0),(N36/M36)/1440,"")</f>
        <v/>
      </c>
      <c r="P34" s="20" t="n"/>
      <c r="Q34" s="20" t="n"/>
      <c r="R34" s="20" t="n"/>
    </row>
    <row r="35">
      <c r="A35" s="21" t="n">
        <v>5</v>
      </c>
      <c r="B35" s="21" t="inlineStr">
        <is>
          <t>Base building</t>
        </is>
      </c>
      <c r="C35" s="21" t="inlineStr">
        <is>
          <t>Yes</t>
        </is>
      </c>
      <c r="D35" s="22" t="n">
        <v>46251</v>
      </c>
      <c r="E35" s="21" t="inlineStr">
        <is>
          <t>Monday</t>
        </is>
      </c>
      <c r="F35" s="21" t="inlineStr">
        <is>
          <t>Run</t>
        </is>
      </c>
      <c r="G35" s="21" t="inlineStr">
        <is>
          <t>Easy</t>
        </is>
      </c>
      <c r="H35" s="21" t="n">
        <v>3.5</v>
      </c>
      <c r="I35" s="21" t="inlineStr">
        <is>
          <t>Easy</t>
        </is>
      </c>
      <c r="J35" s="21" t="inlineStr">
        <is>
          <t>Easy/conversational pace</t>
        </is>
      </c>
      <c r="K35" s="39" t="inlineStr">
        <is>
          <t>Easy run</t>
        </is>
      </c>
      <c r="L35" s="20" t="n"/>
      <c r="M35" s="20" t="n"/>
      <c r="N35" s="50" t="n"/>
      <c r="O35" s="51">
        <f>IF(AND(ISNUMBER(M37),ISNUMBER(N37),M37&gt;0),(N37/M37)/1440,"")</f>
        <v/>
      </c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22" t="n">
        <v>46252</v>
      </c>
      <c r="E36" s="21" t="inlineStr">
        <is>
          <t>Tuesday</t>
        </is>
      </c>
      <c r="F36" s="21" t="inlineStr">
        <is>
          <t>Run</t>
        </is>
      </c>
      <c r="G36" s="21" t="inlineStr">
        <is>
          <t>Intervals</t>
        </is>
      </c>
      <c r="H36" s="21" t="n">
        <v>4.5</v>
      </c>
      <c r="I36" s="21" t="inlineStr">
        <is>
          <t>Intervals</t>
        </is>
      </c>
      <c r="J36" s="21" t="inlineStr">
        <is>
          <t>Deload week - shorten reps/tempo block by ~25%, same structure</t>
        </is>
      </c>
      <c r="K36" s="39" t="inlineStr">
        <is>
          <t>5 x 400 m (deload)</t>
        </is>
      </c>
      <c r="L36" s="20" t="n"/>
      <c r="M36" s="20" t="n"/>
      <c r="N36" s="50" t="n"/>
      <c r="O36" s="51">
        <f>IF(AND(ISNUMBER(M38),ISNUMBER(N38),M38&gt;0),(N38/M38)/1440,"")</f>
        <v/>
      </c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22" t="n">
        <v>46253</v>
      </c>
      <c r="E37" s="21" t="inlineStr">
        <is>
          <t>Wednesday</t>
        </is>
      </c>
      <c r="F37" s="21" t="inlineStr">
        <is>
          <t>Rest</t>
        </is>
      </c>
      <c r="G37" s="21" t="inlineStr">
        <is>
          <t>Full rest</t>
        </is>
      </c>
      <c r="H37" s="21" t="n"/>
      <c r="I37" s="21" t="inlineStr">
        <is>
          <t>-</t>
        </is>
      </c>
      <c r="J37" s="21" t="inlineStr">
        <is>
          <t>Full rest - reduced from 6 to 4 training days/week</t>
        </is>
      </c>
      <c r="K37" s="39" t="inlineStr">
        <is>
          <t>-</t>
        </is>
      </c>
      <c r="L37" s="20" t="n"/>
      <c r="M37" s="20" t="n"/>
      <c r="N37" s="50" t="n"/>
      <c r="O37" s="51">
        <f>IF(AND(ISNUMBER(M39),ISNUMBER(N39),M39&gt;0),(N39/M39)/1440,"")</f>
        <v/>
      </c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22" t="n">
        <v>46254</v>
      </c>
      <c r="E38" s="21" t="inlineStr">
        <is>
          <t>Thursday</t>
        </is>
      </c>
      <c r="F38" s="21" t="inlineStr">
        <is>
          <t>Run</t>
        </is>
      </c>
      <c r="G38" s="21" t="inlineStr">
        <is>
          <t>Medium-long</t>
        </is>
      </c>
      <c r="H38" s="21" t="n">
        <v>5</v>
      </c>
      <c r="I38" s="21" t="inlineStr">
        <is>
          <t>Steady</t>
        </is>
      </c>
      <c r="J38" s="21" t="inlineStr">
        <is>
          <t>Medium-long / steady run - deload, keep it comfortably easy</t>
        </is>
      </c>
      <c r="K38" s="39" t="inlineStr">
        <is>
          <t>Medium-long - steady</t>
        </is>
      </c>
      <c r="L38" s="20" t="n"/>
      <c r="M38" s="20" t="n"/>
      <c r="N38" s="50" t="n"/>
      <c r="O38" s="51">
        <f>IF(AND(ISNUMBER(M41),ISNUMBER(N41),M41&gt;0),(N41/M41)/1440,"")</f>
        <v/>
      </c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22" t="n">
        <v>46255</v>
      </c>
      <c r="E39" s="21" t="inlineStr">
        <is>
          <t>Friday</t>
        </is>
      </c>
      <c r="F39" s="21" t="inlineStr">
        <is>
          <t>Cross-train</t>
        </is>
      </c>
      <c r="G39" s="21" t="inlineStr">
        <is>
          <t>Elliptical + Hip/Knee</t>
        </is>
      </c>
      <c r="H39" s="21" t="n"/>
      <c r="I39" s="21" t="inlineStr">
        <is>
          <t>Easy-moderate</t>
        </is>
      </c>
      <c r="J39" s="21" t="inlineStr">
        <is>
          <t>Low-impact cross-training + hip/knee injury-prevention work (replaces Gym Push day)</t>
        </is>
      </c>
      <c r="K39" s="39" t="inlineStr">
        <is>
          <t>Elliptical + hip/knee circuit</t>
        </is>
      </c>
      <c r="L39" s="20" t="n"/>
      <c r="M39" s="20" t="n"/>
      <c r="N39" s="50" t="n"/>
      <c r="O39" s="51">
        <f>IF(AND(ISNUMBER(M42),ISNUMBER(N42),M42&gt;0),(N42/M42)/1440,"")</f>
        <v/>
      </c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22" t="n">
        <v>46256</v>
      </c>
      <c r="E40" s="21" t="inlineStr">
        <is>
          <t>Saturday</t>
        </is>
      </c>
      <c r="F40" s="21" t="inlineStr">
        <is>
          <t>Run</t>
        </is>
      </c>
      <c r="G40" s="21" t="inlineStr">
        <is>
          <t>Long run</t>
        </is>
      </c>
      <c r="H40" s="21" t="n">
        <v>11</v>
      </c>
      <c r="I40" s="21" t="inlineStr">
        <is>
          <t>Easy</t>
        </is>
      </c>
      <c r="J40" s="21" t="inlineStr">
        <is>
          <t>Long run - mostly easy effort, this is about time on feet and aerobic endurance - deload week</t>
        </is>
      </c>
      <c r="K40" s="39" t="inlineStr">
        <is>
          <t>Long run - easy</t>
        </is>
      </c>
      <c r="L40" s="20" t="n"/>
      <c r="M40" s="20" t="n"/>
      <c r="N40" s="50" t="n"/>
      <c r="O40" s="51">
        <f>IF(AND(ISNUMBER(M43),ISNUMBER(N43),M43&gt;0),(N43/M43)/1440,"")</f>
        <v/>
      </c>
      <c r="P40" s="20" t="n"/>
      <c r="Q40" s="20" t="n"/>
      <c r="R40" s="20" t="n"/>
    </row>
    <row r="41">
      <c r="A41" s="16" t="n">
        <v>6</v>
      </c>
      <c r="B41" s="16" t="inlineStr">
        <is>
          <t>Base building</t>
        </is>
      </c>
      <c r="C41" s="16" t="inlineStr">
        <is>
          <t>No</t>
        </is>
      </c>
      <c r="D41" s="17" t="n">
        <v>46257</v>
      </c>
      <c r="E41" s="16" t="inlineStr">
        <is>
          <t>Sunday</t>
        </is>
      </c>
      <c r="F41" s="16" t="inlineStr">
        <is>
          <t>Rest</t>
        </is>
      </c>
      <c r="G41" s="16" t="inlineStr">
        <is>
          <t>Full rest</t>
        </is>
      </c>
      <c r="H41" s="16" t="n"/>
      <c r="I41" s="16" t="inlineStr">
        <is>
          <t>-</t>
        </is>
      </c>
      <c r="J41" s="16" t="inlineStr">
        <is>
          <t>Recovery after Saturday's long run</t>
        </is>
      </c>
      <c r="K41" s="38" t="inlineStr">
        <is>
          <t>-</t>
        </is>
      </c>
      <c r="L41" s="15" t="n"/>
      <c r="M41" s="15" t="n"/>
      <c r="N41" s="48" t="n"/>
      <c r="O41" s="49">
        <f>IF(AND(ISNUMBER(M44),ISNUMBER(N44),M44&gt;0),(N44/M44)/1440,"")</f>
        <v/>
      </c>
      <c r="P41" s="15" t="n"/>
      <c r="Q41" s="15" t="n"/>
      <c r="R41" s="15" t="n"/>
    </row>
    <row r="42">
      <c r="A42" s="13" t="n">
        <v>6</v>
      </c>
      <c r="B42" s="13" t="inlineStr">
        <is>
          <t>Base building</t>
        </is>
      </c>
      <c r="C42" s="13" t="inlineStr">
        <is>
          <t>No</t>
        </is>
      </c>
      <c r="D42" s="14" t="n">
        <v>46258</v>
      </c>
      <c r="E42" s="13" t="inlineStr">
        <is>
          <t>Monday</t>
        </is>
      </c>
      <c r="F42" s="13" t="inlineStr">
        <is>
          <t>Gym</t>
        </is>
      </c>
      <c r="G42" s="13" t="inlineStr">
        <is>
          <t>Legs</t>
        </is>
      </c>
      <c r="H42" s="13" t="n"/>
      <c r="I42" s="13" t="inlineStr">
        <is>
          <t>-</t>
        </is>
      </c>
      <c r="J42" s="13" t="inlineStr">
        <is>
          <t>Legs day + easy run</t>
        </is>
      </c>
      <c r="K42" s="38" t="inlineStr">
        <is>
          <t>-</t>
        </is>
      </c>
      <c r="L42" s="15" t="n"/>
      <c r="M42" s="15" t="n"/>
      <c r="N42" s="48" t="n"/>
      <c r="O42" s="49">
        <f>IF(AND(ISNUMBER(M45),ISNUMBER(N45),M45&gt;0),(N45/M45)/1440,"")</f>
        <v/>
      </c>
      <c r="P42" s="15" t="n"/>
      <c r="Q42" s="15" t="n"/>
      <c r="R42" s="15" t="n"/>
    </row>
    <row r="43">
      <c r="A43" s="13" t="n">
        <v>6</v>
      </c>
      <c r="B43" s="13" t="inlineStr">
        <is>
          <t>Base building</t>
        </is>
      </c>
      <c r="C43" s="13" t="inlineStr">
        <is>
          <t>No</t>
        </is>
      </c>
      <c r="D43" s="14" t="n">
        <v>46258</v>
      </c>
      <c r="E43" s="13" t="inlineStr">
        <is>
          <t>Monday</t>
        </is>
      </c>
      <c r="F43" s="13" t="inlineStr">
        <is>
          <t>Run</t>
        </is>
      </c>
      <c r="G43" s="13" t="inlineStr">
        <is>
          <t>Easy</t>
        </is>
      </c>
      <c r="H43" s="13" t="n">
        <v>4.5</v>
      </c>
      <c r="I43" s="13" t="inlineStr">
        <is>
          <t>Easy</t>
        </is>
      </c>
      <c r="J43" s="13" t="inlineStr">
        <is>
          <t>Easy/conversational pace</t>
        </is>
      </c>
      <c r="K43" s="38" t="inlineStr">
        <is>
          <t>Easy run</t>
        </is>
      </c>
      <c r="L43" s="15" t="n"/>
      <c r="M43" s="15" t="n"/>
      <c r="N43" s="48" t="n"/>
      <c r="O43" s="49">
        <f>IF(AND(ISNUMBER(M46),ISNUMBER(N46),M46&gt;0),(N46/M46)/1440,"")</f>
        <v/>
      </c>
      <c r="P43" s="15" t="n"/>
      <c r="Q43" s="15" t="n"/>
      <c r="R43" s="15" t="n"/>
    </row>
    <row r="44">
      <c r="A44" s="13" t="n">
        <v>6</v>
      </c>
      <c r="B44" s="13" t="inlineStr">
        <is>
          <t>Base building</t>
        </is>
      </c>
      <c r="C44" s="13" t="inlineStr">
        <is>
          <t>No</t>
        </is>
      </c>
      <c r="D44" s="14" t="n">
        <v>46259</v>
      </c>
      <c r="E44" s="13" t="inlineStr">
        <is>
          <t>Tuesday</t>
        </is>
      </c>
      <c r="F44" s="13" t="inlineStr">
        <is>
          <t>Run</t>
        </is>
      </c>
      <c r="G44" s="13" t="inlineStr">
        <is>
          <t>Tempo</t>
        </is>
      </c>
      <c r="H44" s="13" t="n">
        <v>5.5</v>
      </c>
      <c r="I44" s="13" t="inlineStr">
        <is>
          <t>Tempo</t>
        </is>
      </c>
      <c r="J44" s="13" t="inlineStr">
        <is>
          <t>Continuous tempo block within the session, building duration through the phase</t>
        </is>
      </c>
      <c r="K44" s="38" t="inlineStr">
        <is>
          <t>18-min tempo</t>
        </is>
      </c>
      <c r="L44" s="15" t="n"/>
      <c r="M44" s="15" t="n"/>
      <c r="N44" s="48" t="n"/>
      <c r="O44" s="49">
        <f>IF(AND(ISNUMBER(M47),ISNUMBER(N47),M47&gt;0),(N47/M47)/1440,"")</f>
        <v/>
      </c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14" t="n">
        <v>46260</v>
      </c>
      <c r="E45" s="13" t="inlineStr">
        <is>
          <t>Wednesday</t>
        </is>
      </c>
      <c r="F45" s="13" t="inlineStr">
        <is>
          <t>Rest</t>
        </is>
      </c>
      <c r="G45" s="13" t="inlineStr">
        <is>
          <t>Full rest</t>
        </is>
      </c>
      <c r="H45" s="13" t="n"/>
      <c r="I45" s="13" t="inlineStr">
        <is>
          <t>-</t>
        </is>
      </c>
      <c r="J45" s="13" t="inlineStr">
        <is>
          <t>Full rest - reduced from 6 to 4 training days/week</t>
        </is>
      </c>
      <c r="K45" s="38" t="inlineStr">
        <is>
          <t>-</t>
        </is>
      </c>
      <c r="L45" s="15" t="n"/>
      <c r="M45" s="15" t="n"/>
      <c r="N45" s="48" t="n"/>
      <c r="O45" s="49">
        <f>IF(AND(ISNUMBER(M48),ISNUMBER(N48),M48&gt;0),(N48/M48)/1440,"")</f>
        <v/>
      </c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14" t="n">
        <v>46261</v>
      </c>
      <c r="E46" s="13" t="inlineStr">
        <is>
          <t>Thursday</t>
        </is>
      </c>
      <c r="F46" s="13" t="inlineStr">
        <is>
          <t>Run</t>
        </is>
      </c>
      <c r="G46" s="13" t="inlineStr">
        <is>
          <t>Medium-long</t>
        </is>
      </c>
      <c r="H46" s="13" t="n">
        <v>7</v>
      </c>
      <c r="I46" s="13" t="inlineStr">
        <is>
          <t>Steady</t>
        </is>
      </c>
      <c r="J46" s="13" t="inlineStr">
        <is>
          <t>Medium-long / steady run</t>
        </is>
      </c>
      <c r="K46" s="38" t="inlineStr">
        <is>
          <t>Medium-long - steady</t>
        </is>
      </c>
      <c r="L46" s="15" t="n"/>
      <c r="M46" s="15" t="n"/>
      <c r="N46" s="48" t="n"/>
      <c r="O46" s="49">
        <f>IF(AND(ISNUMBER(M50),ISNUMBER(N50),M50&gt;0),(N50/M50)/1440,"")</f>
        <v/>
      </c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14" t="n">
        <v>46262</v>
      </c>
      <c r="E47" s="13" t="inlineStr">
        <is>
          <t>Friday</t>
        </is>
      </c>
      <c r="F47" s="13" t="inlineStr">
        <is>
          <t>Cross-train</t>
        </is>
      </c>
      <c r="G47" s="13" t="inlineStr">
        <is>
          <t>Elliptical + Hip/Knee</t>
        </is>
      </c>
      <c r="H47" s="13" t="n"/>
      <c r="I47" s="13" t="inlineStr">
        <is>
          <t>Easy-moderate</t>
        </is>
      </c>
      <c r="J47" s="13" t="inlineStr">
        <is>
          <t>Low-impact cross-training + hip/knee injury-prevention work (replaces Gym Push day)</t>
        </is>
      </c>
      <c r="K47" s="38" t="inlineStr">
        <is>
          <t>Elliptical + hip/knee circuit</t>
        </is>
      </c>
      <c r="L47" s="15" t="n"/>
      <c r="M47" s="15" t="n"/>
      <c r="N47" s="48" t="n"/>
      <c r="O47" s="49">
        <f>IF(AND(ISNUMBER(M51),ISNUMBER(N51),M51&gt;0),(N51/M51)/1440,"")</f>
        <v/>
      </c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14" t="n">
        <v>46263</v>
      </c>
      <c r="E48" s="13" t="inlineStr">
        <is>
          <t>Saturday</t>
        </is>
      </c>
      <c r="F48" s="13" t="inlineStr">
        <is>
          <t>Run</t>
        </is>
      </c>
      <c r="G48" s="13" t="inlineStr">
        <is>
          <t>Long run</t>
        </is>
      </c>
      <c r="H48" s="13" t="n">
        <v>15</v>
      </c>
      <c r="I48" s="13" t="inlineStr">
        <is>
          <t>Easy</t>
        </is>
      </c>
      <c r="J48" s="13" t="inlineStr">
        <is>
          <t>Long run - mostly easy effort, this is about time on feet and aerobic endurance</t>
        </is>
      </c>
      <c r="K48" s="38" t="inlineStr">
        <is>
          <t>Long run - easy</t>
        </is>
      </c>
      <c r="L48" s="15" t="n"/>
      <c r="M48" s="15" t="n"/>
      <c r="N48" s="48" t="n"/>
      <c r="O48" s="49">
        <f>IF(AND(ISNUMBER(M52),ISNUMBER(N52),M52&gt;0),(N52/M52)/1440,"")</f>
        <v/>
      </c>
      <c r="P48" s="15" t="n"/>
      <c r="Q48" s="15" t="n"/>
      <c r="R48" s="15" t="n"/>
    </row>
    <row r="49">
      <c r="A49" s="16" t="n">
        <v>7</v>
      </c>
      <c r="B49" s="16" t="inlineStr">
        <is>
          <t>Base building</t>
        </is>
      </c>
      <c r="C49" s="16" t="inlineStr">
        <is>
          <t>No</t>
        </is>
      </c>
      <c r="D49" s="17" t="n">
        <v>46264</v>
      </c>
      <c r="E49" s="16" t="inlineStr">
        <is>
          <t>Sunday</t>
        </is>
      </c>
      <c r="F49" s="16" t="inlineStr">
        <is>
          <t>Rest</t>
        </is>
      </c>
      <c r="G49" s="16" t="inlineStr">
        <is>
          <t>Full rest</t>
        </is>
      </c>
      <c r="H49" s="16" t="n"/>
      <c r="I49" s="16" t="inlineStr">
        <is>
          <t>-</t>
        </is>
      </c>
      <c r="J49" s="16" t="inlineStr">
        <is>
          <t>Recovery after Saturday's long run</t>
        </is>
      </c>
      <c r="K49" s="38" t="inlineStr">
        <is>
          <t>-</t>
        </is>
      </c>
      <c r="L49" s="15" t="n"/>
      <c r="M49" s="15" t="n"/>
      <c r="N49" s="48" t="n"/>
      <c r="O49" s="49">
        <f>IF(AND(ISNUMBER(M53),ISNUMBER(N53),M53&gt;0),(N53/M53)/1440,"")</f>
        <v/>
      </c>
      <c r="P49" s="15" t="n"/>
      <c r="Q49" s="15" t="n"/>
      <c r="R49" s="15" t="n"/>
    </row>
    <row r="50">
      <c r="A50" s="13" t="n">
        <v>7</v>
      </c>
      <c r="B50" s="13" t="inlineStr">
        <is>
          <t>Base building</t>
        </is>
      </c>
      <c r="C50" s="13" t="inlineStr">
        <is>
          <t>No</t>
        </is>
      </c>
      <c r="D50" s="14" t="n">
        <v>46265</v>
      </c>
      <c r="E50" s="13" t="inlineStr">
        <is>
          <t>Monday</t>
        </is>
      </c>
      <c r="F50" s="13" t="inlineStr">
        <is>
          <t>Gym</t>
        </is>
      </c>
      <c r="G50" s="13" t="inlineStr">
        <is>
          <t>Legs</t>
        </is>
      </c>
      <c r="H50" s="13" t="n"/>
      <c r="I50" s="13" t="inlineStr">
        <is>
          <t>-</t>
        </is>
      </c>
      <c r="J50" s="13" t="inlineStr">
        <is>
          <t>Legs day + easy run</t>
        </is>
      </c>
      <c r="K50" s="38" t="inlineStr">
        <is>
          <t>-</t>
        </is>
      </c>
      <c r="L50" s="15" t="n"/>
      <c r="M50" s="15" t="n"/>
      <c r="N50" s="48" t="n"/>
      <c r="O50" s="49">
        <f>IF(AND(ISNUMBER(M54),ISNUMBER(N54),M54&gt;0),(N54/M54)/1440,"")</f>
        <v/>
      </c>
      <c r="P50" s="15" t="n"/>
      <c r="Q50" s="15" t="n"/>
      <c r="R50" s="15" t="n"/>
    </row>
    <row r="51">
      <c r="A51" s="13" t="n">
        <v>7</v>
      </c>
      <c r="B51" s="13" t="inlineStr">
        <is>
          <t>Base building</t>
        </is>
      </c>
      <c r="C51" s="13" t="inlineStr">
        <is>
          <t>No</t>
        </is>
      </c>
      <c r="D51" s="14" t="n">
        <v>46265</v>
      </c>
      <c r="E51" s="13" t="inlineStr">
        <is>
          <t>Monday</t>
        </is>
      </c>
      <c r="F51" s="13" t="inlineStr">
        <is>
          <t>Run</t>
        </is>
      </c>
      <c r="G51" s="13" t="inlineStr">
        <is>
          <t>Easy</t>
        </is>
      </c>
      <c r="H51" s="13" t="n">
        <v>4.5</v>
      </c>
      <c r="I51" s="13" t="inlineStr">
        <is>
          <t>Easy</t>
        </is>
      </c>
      <c r="J51" s="13" t="inlineStr">
        <is>
          <t>Easy/conversational pace</t>
        </is>
      </c>
      <c r="K51" s="38" t="inlineStr">
        <is>
          <t>Easy run</t>
        </is>
      </c>
      <c r="L51" s="15" t="n"/>
      <c r="M51" s="15" t="n"/>
      <c r="N51" s="48" t="n"/>
      <c r="O51" s="49">
        <f>IF(AND(ISNUMBER(M55),ISNUMBER(N55),M55&gt;0),(N55/M55)/1440,"")</f>
        <v/>
      </c>
      <c r="P51" s="15" t="n"/>
      <c r="Q51" s="15" t="n"/>
      <c r="R51" s="15" t="n"/>
    </row>
    <row r="52">
      <c r="A52" s="13" t="n">
        <v>7</v>
      </c>
      <c r="B52" s="13" t="inlineStr">
        <is>
          <t>Base building</t>
        </is>
      </c>
      <c r="C52" s="13" t="inlineStr">
        <is>
          <t>No</t>
        </is>
      </c>
      <c r="D52" s="14" t="n">
        <v>46266</v>
      </c>
      <c r="E52" s="13" t="inlineStr">
        <is>
          <t>Tuesday</t>
        </is>
      </c>
      <c r="F52" s="13" t="inlineStr">
        <is>
          <t>Run</t>
        </is>
      </c>
      <c r="G52" s="13" t="inlineStr">
        <is>
          <t>Intervals</t>
        </is>
      </c>
      <c r="H52" s="13" t="n">
        <v>5.5</v>
      </c>
      <c r="I52" s="13" t="inlineStr">
        <is>
          <t>Intervals</t>
        </is>
      </c>
      <c r="J52" s="13" t="inlineStr">
        <is>
          <t>Repeats (e.g. 400-1000m) with equal-time jog recovery, building reps through the phase</t>
        </is>
      </c>
      <c r="K52" s="38" t="inlineStr">
        <is>
          <t>6 x 500 m</t>
        </is>
      </c>
      <c r="L52" s="15" t="n"/>
      <c r="M52" s="15" t="n"/>
      <c r="N52" s="48" t="n"/>
      <c r="O52" s="49">
        <f>IF(AND(ISNUMBER(M56),ISNUMBER(N56),M56&gt;0),(N56/M56)/1440,"")</f>
        <v/>
      </c>
      <c r="P52" s="15" t="n"/>
      <c r="Q52" s="15" t="n"/>
      <c r="R52" s="15" t="n"/>
    </row>
    <row r="53">
      <c r="A53" s="13" t="n">
        <v>7</v>
      </c>
      <c r="B53" s="13" t="inlineStr">
        <is>
          <t>Base building</t>
        </is>
      </c>
      <c r="C53" s="13" t="inlineStr">
        <is>
          <t>No</t>
        </is>
      </c>
      <c r="D53" s="14" t="n">
        <v>46267</v>
      </c>
      <c r="E53" s="13" t="inlineStr">
        <is>
          <t>Wednesday</t>
        </is>
      </c>
      <c r="F53" s="13" t="inlineStr">
        <is>
          <t>Rest</t>
        </is>
      </c>
      <c r="G53" s="13" t="inlineStr">
        <is>
          <t>Full rest</t>
        </is>
      </c>
      <c r="H53" s="13" t="n"/>
      <c r="I53" s="13" t="inlineStr">
        <is>
          <t>-</t>
        </is>
      </c>
      <c r="J53" s="13" t="inlineStr">
        <is>
          <t>Full rest - reduced from 6 to 4 training days/week</t>
        </is>
      </c>
      <c r="K53" s="38" t="inlineStr">
        <is>
          <t>-</t>
        </is>
      </c>
      <c r="L53" s="15" t="n"/>
      <c r="M53" s="15" t="n"/>
      <c r="N53" s="48" t="n"/>
      <c r="O53" s="49">
        <f>IF(AND(ISNUMBER(M57),ISNUMBER(N57),M57&gt;0),(N57/M57)/1440,"")</f>
        <v/>
      </c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14" t="n">
        <v>46268</v>
      </c>
      <c r="E54" s="13" t="inlineStr">
        <is>
          <t>Thursday</t>
        </is>
      </c>
      <c r="F54" s="13" t="inlineStr">
        <is>
          <t>Run</t>
        </is>
      </c>
      <c r="G54" s="13" t="inlineStr">
        <is>
          <t>Medium-long</t>
        </is>
      </c>
      <c r="H54" s="13" t="n">
        <v>8</v>
      </c>
      <c r="I54" s="13" t="inlineStr">
        <is>
          <t>Steady</t>
        </is>
      </c>
      <c r="J54" s="13" t="inlineStr">
        <is>
          <t>Medium-long / steady run</t>
        </is>
      </c>
      <c r="K54" s="38" t="inlineStr">
        <is>
          <t>Medium-long - steady</t>
        </is>
      </c>
      <c r="L54" s="15" t="n"/>
      <c r="M54" s="15" t="n"/>
      <c r="N54" s="48" t="n"/>
      <c r="O54" s="49">
        <f>IF(AND(ISNUMBER(M59),ISNUMBER(N59),M59&gt;0),(N59/M59)/1440,"")</f>
        <v/>
      </c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14" t="n">
        <v>46269</v>
      </c>
      <c r="E55" s="13" t="inlineStr">
        <is>
          <t>Friday</t>
        </is>
      </c>
      <c r="F55" s="13" t="inlineStr">
        <is>
          <t>Cross-train</t>
        </is>
      </c>
      <c r="G55" s="13" t="inlineStr">
        <is>
          <t>Elliptical + Hip/Knee</t>
        </is>
      </c>
      <c r="H55" s="13" t="n"/>
      <c r="I55" s="13" t="inlineStr">
        <is>
          <t>Easy-moderate</t>
        </is>
      </c>
      <c r="J55" s="13" t="inlineStr">
        <is>
          <t>Low-impact cross-training + hip/knee injury-prevention work (replaces Gym Push day)</t>
        </is>
      </c>
      <c r="K55" s="38" t="inlineStr">
        <is>
          <t>Elliptical + hip/knee circuit</t>
        </is>
      </c>
      <c r="L55" s="15" t="n"/>
      <c r="M55" s="15" t="n"/>
      <c r="N55" s="48" t="n"/>
      <c r="O55" s="49">
        <f>IF(AND(ISNUMBER(M60),ISNUMBER(N60),M60&gt;0),(N60/M60)/1440,"")</f>
        <v/>
      </c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14" t="n">
        <v>46270</v>
      </c>
      <c r="E56" s="13" t="inlineStr">
        <is>
          <t>Saturday</t>
        </is>
      </c>
      <c r="F56" s="13" t="inlineStr">
        <is>
          <t>Run</t>
        </is>
      </c>
      <c r="G56" s="13" t="inlineStr">
        <is>
          <t>Long run</t>
        </is>
      </c>
      <c r="H56" s="13" t="n">
        <v>18</v>
      </c>
      <c r="I56" s="13" t="inlineStr">
        <is>
          <t>Easy</t>
        </is>
      </c>
      <c r="J56" s="13" t="inlineStr">
        <is>
          <t>Long run - mostly easy effort, this is about time on feet and aerobic endurance</t>
        </is>
      </c>
      <c r="K56" s="38" t="inlineStr">
        <is>
          <t>Long run - easy</t>
        </is>
      </c>
      <c r="L56" s="15" t="n"/>
      <c r="M56" s="15" t="n"/>
      <c r="N56" s="48" t="n"/>
      <c r="O56" s="49">
        <f>IF(AND(ISNUMBER(M61),ISNUMBER(N61),M61&gt;0),(N61/M61)/1440,"")</f>
        <v/>
      </c>
      <c r="P56" s="15" t="n"/>
      <c r="Q56" s="15" t="n"/>
      <c r="R56" s="15" t="n"/>
    </row>
    <row r="57">
      <c r="A57" s="16" t="n">
        <v>8</v>
      </c>
      <c r="B57" s="16" t="inlineStr">
        <is>
          <t>Aerobic build</t>
        </is>
      </c>
      <c r="C57" s="16" t="inlineStr">
        <is>
          <t>No</t>
        </is>
      </c>
      <c r="D57" s="17" t="n">
        <v>46271</v>
      </c>
      <c r="E57" s="16" t="inlineStr">
        <is>
          <t>Sunday</t>
        </is>
      </c>
      <c r="F57" s="16" t="inlineStr">
        <is>
          <t>Rest</t>
        </is>
      </c>
      <c r="G57" s="16" t="inlineStr">
        <is>
          <t>Full rest</t>
        </is>
      </c>
      <c r="H57" s="16" t="n"/>
      <c r="I57" s="16" t="inlineStr">
        <is>
          <t>-</t>
        </is>
      </c>
      <c r="J57" s="16" t="inlineStr">
        <is>
          <t>Recovery after Saturday's long run</t>
        </is>
      </c>
      <c r="K57" s="38" t="inlineStr">
        <is>
          <t>-</t>
        </is>
      </c>
      <c r="L57" s="15" t="n"/>
      <c r="M57" s="15" t="n"/>
      <c r="N57" s="48" t="n"/>
      <c r="O57" s="49">
        <f>IF(AND(ISNUMBER(M62),ISNUMBER(N62),M62&gt;0),(N62/M62)/1440,"")</f>
        <v/>
      </c>
      <c r="P57" s="15" t="n"/>
      <c r="Q57" s="15" t="n"/>
      <c r="R57" s="15" t="n"/>
    </row>
    <row r="58">
      <c r="A58" s="23" t="n">
        <v>8</v>
      </c>
      <c r="B58" s="23" t="inlineStr">
        <is>
          <t>Aerobic build</t>
        </is>
      </c>
      <c r="C58" s="23" t="inlineStr">
        <is>
          <t>No</t>
        </is>
      </c>
      <c r="D58" s="24" t="n">
        <v>46272</v>
      </c>
      <c r="E58" s="23" t="inlineStr">
        <is>
          <t>Monday</t>
        </is>
      </c>
      <c r="F58" s="23" t="inlineStr">
        <is>
          <t>Gym</t>
        </is>
      </c>
      <c r="G58" s="23" t="inlineStr">
        <is>
          <t>Legs</t>
        </is>
      </c>
      <c r="H58" s="23" t="n"/>
      <c r="I58" s="23" t="inlineStr">
        <is>
          <t>-</t>
        </is>
      </c>
      <c r="J58" s="23" t="inlineStr">
        <is>
          <t>Legs day + easy run</t>
        </is>
      </c>
      <c r="K58" s="38" t="inlineStr">
        <is>
          <t>-</t>
        </is>
      </c>
      <c r="L58" s="15" t="n"/>
      <c r="M58" s="15" t="n"/>
      <c r="N58" s="48" t="n"/>
      <c r="O58" s="49">
        <f>IF(AND(ISNUMBER(M63),ISNUMBER(N63),M63&gt;0),(N63/M63)/1440,"")</f>
        <v/>
      </c>
      <c r="P58" s="15" t="n"/>
      <c r="Q58" s="15" t="n"/>
      <c r="R58" s="15" t="n"/>
    </row>
    <row r="59">
      <c r="A59" s="23" t="n">
        <v>8</v>
      </c>
      <c r="B59" s="23" t="inlineStr">
        <is>
          <t>Aerobic build</t>
        </is>
      </c>
      <c r="C59" s="23" t="inlineStr">
        <is>
          <t>No</t>
        </is>
      </c>
      <c r="D59" s="24" t="n">
        <v>46272</v>
      </c>
      <c r="E59" s="23" t="inlineStr">
        <is>
          <t>Monday</t>
        </is>
      </c>
      <c r="F59" s="23" t="inlineStr">
        <is>
          <t>Run</t>
        </is>
      </c>
      <c r="G59" s="23" t="inlineStr">
        <is>
          <t>Easy</t>
        </is>
      </c>
      <c r="H59" s="23" t="n">
        <v>5.5</v>
      </c>
      <c r="I59" s="23" t="inlineStr">
        <is>
          <t>Easy</t>
        </is>
      </c>
      <c r="J59" s="23" t="inlineStr">
        <is>
          <t>Easy/conversational pace</t>
        </is>
      </c>
      <c r="K59" s="38" t="inlineStr">
        <is>
          <t>Easy run</t>
        </is>
      </c>
      <c r="L59" s="15" t="n"/>
      <c r="M59" s="15" t="n"/>
      <c r="N59" s="48" t="n"/>
      <c r="O59" s="49">
        <f>IF(AND(ISNUMBER(M64),ISNUMBER(N64),M64&gt;0),(N64/M64)/1440,"")</f>
        <v/>
      </c>
      <c r="P59" s="15" t="n"/>
      <c r="Q59" s="15" t="n"/>
      <c r="R59" s="15" t="n"/>
    </row>
    <row r="60">
      <c r="A60" s="23" t="n">
        <v>8</v>
      </c>
      <c r="B60" s="23" t="inlineStr">
        <is>
          <t>Aerobic build</t>
        </is>
      </c>
      <c r="C60" s="23" t="inlineStr">
        <is>
          <t>No</t>
        </is>
      </c>
      <c r="D60" s="24" t="n">
        <v>46273</v>
      </c>
      <c r="E60" s="23" t="inlineStr">
        <is>
          <t>Tuesday</t>
        </is>
      </c>
      <c r="F60" s="23" t="inlineStr">
        <is>
          <t>Run</t>
        </is>
      </c>
      <c r="G60" s="23" t="inlineStr">
        <is>
          <t>Tempo</t>
        </is>
      </c>
      <c r="H60" s="23" t="n">
        <v>6.5</v>
      </c>
      <c r="I60" s="23" t="inlineStr">
        <is>
          <t>Tempo</t>
        </is>
      </c>
      <c r="J60" s="23" t="inlineStr">
        <is>
          <t>Continuous tempo block within the session, building duration through the phase</t>
        </is>
      </c>
      <c r="K60" s="38" t="inlineStr">
        <is>
          <t>2 x 10-min tempo</t>
        </is>
      </c>
      <c r="L60" s="15" t="n"/>
      <c r="M60" s="15" t="n"/>
      <c r="N60" s="48" t="n"/>
      <c r="O60" s="49">
        <f>IF(AND(ISNUMBER(M65),ISNUMBER(N65),M65&gt;0),(N65/M65)/1440,"")</f>
        <v/>
      </c>
      <c r="P60" s="15" t="n"/>
      <c r="Q60" s="15" t="n"/>
      <c r="R60" s="15" t="n"/>
    </row>
    <row r="61">
      <c r="A61" s="23" t="n">
        <v>8</v>
      </c>
      <c r="B61" s="23" t="inlineStr">
        <is>
          <t>Aerobic build</t>
        </is>
      </c>
      <c r="C61" s="23" t="inlineStr">
        <is>
          <t>No</t>
        </is>
      </c>
      <c r="D61" s="24" t="n">
        <v>46274</v>
      </c>
      <c r="E61" s="23" t="inlineStr">
        <is>
          <t>Wednesday</t>
        </is>
      </c>
      <c r="F61" s="23" t="inlineStr">
        <is>
          <t>Rest</t>
        </is>
      </c>
      <c r="G61" s="23" t="inlineStr">
        <is>
          <t>Full rest</t>
        </is>
      </c>
      <c r="H61" s="23" t="n"/>
      <c r="I61" s="23" t="inlineStr">
        <is>
          <t>-</t>
        </is>
      </c>
      <c r="J61" s="23" t="inlineStr">
        <is>
          <t>Full rest - reduced from 6 to 4 training days/week</t>
        </is>
      </c>
      <c r="K61" s="38" t="inlineStr">
        <is>
          <t>-</t>
        </is>
      </c>
      <c r="L61" s="15" t="n"/>
      <c r="M61" s="15" t="n"/>
      <c r="N61" s="48" t="n"/>
      <c r="O61" s="49">
        <f>IF(AND(ISNUMBER(M66),ISNUMBER(N66),M66&gt;0),(N66/M66)/1440,"")</f>
        <v/>
      </c>
      <c r="P61" s="15" t="n"/>
      <c r="Q61" s="15" t="n"/>
      <c r="R61" s="15" t="n"/>
    </row>
    <row r="62">
      <c r="A62" s="23" t="n">
        <v>8</v>
      </c>
      <c r="B62" s="23" t="inlineStr">
        <is>
          <t>Aerobic build</t>
        </is>
      </c>
      <c r="C62" s="23" t="inlineStr">
        <is>
          <t>No</t>
        </is>
      </c>
      <c r="D62" s="24" t="n">
        <v>46275</v>
      </c>
      <c r="E62" s="23" t="inlineStr">
        <is>
          <t>Thursday</t>
        </is>
      </c>
      <c r="F62" s="23" t="inlineStr">
        <is>
          <t>Run</t>
        </is>
      </c>
      <c r="G62" s="23" t="inlineStr">
        <is>
          <t>Medium-long (MP finish)</t>
        </is>
      </c>
      <c r="H62" s="23" t="n">
        <v>8</v>
      </c>
      <c r="I62" s="23" t="inlineStr">
        <is>
          <t>Steady + MP finish</t>
        </is>
      </c>
      <c r="J62" s="23" t="inlineStr">
        <is>
          <t>Medium-long run with the last 2-3km at marathon-pace effort</t>
        </is>
      </c>
      <c r="K62" s="38" t="inlineStr">
        <is>
          <t>Medium-long + MP finish</t>
        </is>
      </c>
      <c r="L62" s="15" t="n"/>
      <c r="M62" s="15" t="n"/>
      <c r="N62" s="48" t="n"/>
      <c r="O62" s="49">
        <f>IF(AND(ISNUMBER(M68),ISNUMBER(N68),M68&gt;0),(N68/M68)/1440,"")</f>
        <v/>
      </c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24" t="n">
        <v>46276</v>
      </c>
      <c r="E63" s="23" t="inlineStr">
        <is>
          <t>Friday</t>
        </is>
      </c>
      <c r="F63" s="23" t="inlineStr">
        <is>
          <t>Cross-train</t>
        </is>
      </c>
      <c r="G63" s="23" t="inlineStr">
        <is>
          <t>Elliptical + Hip/Knee</t>
        </is>
      </c>
      <c r="H63" s="23" t="n"/>
      <c r="I63" s="23" t="inlineStr">
        <is>
          <t>Easy-moderate</t>
        </is>
      </c>
      <c r="J63" s="23" t="inlineStr">
        <is>
          <t>Low-impact cross-training + hip/knee injury-prevention work (replaces Gym Push day)</t>
        </is>
      </c>
      <c r="K63" s="38" t="inlineStr">
        <is>
          <t>Elliptical + hip/knee circuit</t>
        </is>
      </c>
      <c r="L63" s="15" t="n"/>
      <c r="M63" s="15" t="n"/>
      <c r="N63" s="48" t="n"/>
      <c r="O63" s="49">
        <f>IF(AND(ISNUMBER(M69),ISNUMBER(N69),M69&gt;0),(N69/M69)/1440,"")</f>
        <v/>
      </c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24" t="n">
        <v>46277</v>
      </c>
      <c r="E64" s="23" t="inlineStr">
        <is>
          <t>Saturday</t>
        </is>
      </c>
      <c r="F64" s="23" t="inlineStr">
        <is>
          <t>Run</t>
        </is>
      </c>
      <c r="G64" s="23" t="inlineStr">
        <is>
          <t>Long run</t>
        </is>
      </c>
      <c r="H64" s="23" t="n">
        <v>19</v>
      </c>
      <c r="I64" s="23" t="inlineStr">
        <is>
          <t>Easy</t>
        </is>
      </c>
      <c r="J64" s="23" t="inlineStr">
        <is>
          <t>Long run - mostly easy effort, this is about time on feet and aerobic endurance</t>
        </is>
      </c>
      <c r="K64" s="38" t="inlineStr">
        <is>
          <t>Long run - easy</t>
        </is>
      </c>
      <c r="L64" s="15" t="n"/>
      <c r="M64" s="15" t="n"/>
      <c r="N64" s="48" t="n"/>
      <c r="O64" s="49">
        <f>IF(AND(ISNUMBER(M71),ISNUMBER(N71),M71&gt;0),(N71/M71)/1440,"")</f>
        <v/>
      </c>
      <c r="P64" s="15" t="n"/>
      <c r="Q64" s="15" t="n"/>
      <c r="R64" s="15" t="n"/>
    </row>
    <row r="65">
      <c r="A65" s="16" t="n">
        <v>9</v>
      </c>
      <c r="B65" s="16" t="inlineStr">
        <is>
          <t>Aerobic build</t>
        </is>
      </c>
      <c r="C65" s="16" t="inlineStr">
        <is>
          <t>No</t>
        </is>
      </c>
      <c r="D65" s="17" t="n">
        <v>46278</v>
      </c>
      <c r="E65" s="16" t="inlineStr">
        <is>
          <t>Sunday</t>
        </is>
      </c>
      <c r="F65" s="16" t="inlineStr">
        <is>
          <t>Rest</t>
        </is>
      </c>
      <c r="G65" s="16" t="inlineStr">
        <is>
          <t>Full rest</t>
        </is>
      </c>
      <c r="H65" s="16" t="n"/>
      <c r="I65" s="16" t="inlineStr">
        <is>
          <t>-</t>
        </is>
      </c>
      <c r="J65" s="16" t="inlineStr">
        <is>
          <t>Recovery after Saturday's long run</t>
        </is>
      </c>
      <c r="K65" s="38" t="inlineStr">
        <is>
          <t>-</t>
        </is>
      </c>
      <c r="L65" s="15" t="n"/>
      <c r="M65" s="15" t="n"/>
      <c r="N65" s="48" t="n"/>
      <c r="O65" s="49">
        <f>IF(AND(ISNUMBER(M72),ISNUMBER(N72),M72&gt;0),(N72/M72)/1440,"")</f>
        <v/>
      </c>
      <c r="P65" s="15" t="n"/>
      <c r="Q65" s="15" t="n"/>
      <c r="R65" s="15" t="n"/>
    </row>
    <row r="66">
      <c r="A66" s="23" t="n">
        <v>9</v>
      </c>
      <c r="B66" s="23" t="inlineStr">
        <is>
          <t>Aerobic build</t>
        </is>
      </c>
      <c r="C66" s="23" t="inlineStr">
        <is>
          <t>No</t>
        </is>
      </c>
      <c r="D66" s="24" t="n">
        <v>46279</v>
      </c>
      <c r="E66" s="23" t="inlineStr">
        <is>
          <t>Monday</t>
        </is>
      </c>
      <c r="F66" s="23" t="inlineStr">
        <is>
          <t>Gym</t>
        </is>
      </c>
      <c r="G66" s="23" t="inlineStr">
        <is>
          <t>Legs</t>
        </is>
      </c>
      <c r="H66" s="23" t="n"/>
      <c r="I66" s="23" t="inlineStr">
        <is>
          <t>-</t>
        </is>
      </c>
      <c r="J66" s="23" t="inlineStr">
        <is>
          <t>Legs day + easy run</t>
        </is>
      </c>
      <c r="K66" s="38" t="inlineStr">
        <is>
          <t>-</t>
        </is>
      </c>
      <c r="L66" s="15" t="n"/>
      <c r="M66" s="15" t="n"/>
      <c r="N66" s="48" t="n"/>
      <c r="O66" s="49">
        <f>IF(AND(ISNUMBER(M73),ISNUMBER(N73),M73&gt;0),(N73/M73)/1440,"")</f>
        <v/>
      </c>
      <c r="P66" s="15" t="n"/>
      <c r="Q66" s="15" t="n"/>
      <c r="R66" s="15" t="n"/>
    </row>
    <row r="67">
      <c r="A67" s="23" t="n">
        <v>9</v>
      </c>
      <c r="B67" s="23" t="inlineStr">
        <is>
          <t>Aerobic build</t>
        </is>
      </c>
      <c r="C67" s="23" t="inlineStr">
        <is>
          <t>No</t>
        </is>
      </c>
      <c r="D67" s="24" t="n">
        <v>46279</v>
      </c>
      <c r="E67" s="23" t="inlineStr">
        <is>
          <t>Monday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38" t="inlineStr">
        <is>
          <t>Easy run</t>
        </is>
      </c>
      <c r="L67" s="15" t="n"/>
      <c r="M67" s="15" t="n"/>
      <c r="N67" s="48" t="n"/>
      <c r="O67" s="49">
        <f>IF(AND(ISNUMBER(M74),ISNUMBER(N74),M74&gt;0),(N74/M74)/1440,"")</f>
        <v/>
      </c>
      <c r="P67" s="15" t="n"/>
      <c r="Q67" s="15" t="n"/>
      <c r="R67" s="15" t="n"/>
    </row>
    <row r="68">
      <c r="A68" s="23" t="n">
        <v>9</v>
      </c>
      <c r="B68" s="23" t="inlineStr">
        <is>
          <t>Aerobic build</t>
        </is>
      </c>
      <c r="C68" s="23" t="inlineStr">
        <is>
          <t>No</t>
        </is>
      </c>
      <c r="D68" s="24" t="n">
        <v>46280</v>
      </c>
      <c r="E68" s="23" t="inlineStr">
        <is>
          <t>Tuesday</t>
        </is>
      </c>
      <c r="F68" s="23" t="inlineStr">
        <is>
          <t>Run</t>
        </is>
      </c>
      <c r="G68" s="23" t="inlineStr">
        <is>
          <t>Intervals</t>
        </is>
      </c>
      <c r="H68" s="23" t="n">
        <v>6.5</v>
      </c>
      <c r="I68" s="23" t="inlineStr">
        <is>
          <t>Intervals</t>
        </is>
      </c>
      <c r="J68" s="23" t="inlineStr">
        <is>
          <t>Repeats (e.g. 400-1000m) with equal-time jog recovery, building reps through the phase</t>
        </is>
      </c>
      <c r="K68" s="38" t="inlineStr">
        <is>
          <t>5 x 800 m</t>
        </is>
      </c>
      <c r="L68" s="15" t="n"/>
      <c r="M68" s="15" t="n"/>
      <c r="N68" s="48" t="n"/>
      <c r="O68" s="49">
        <f>IF(AND(ISNUMBER(M75),ISNUMBER(N75),M75&gt;0),(N75/M75)/1440,"")</f>
        <v/>
      </c>
      <c r="P68" s="15" t="n"/>
      <c r="Q68" s="15" t="n"/>
      <c r="R68" s="15" t="n"/>
    </row>
    <row r="69">
      <c r="A69" s="23" t="n">
        <v>9</v>
      </c>
      <c r="B69" s="23" t="inlineStr">
        <is>
          <t>Aerobic build</t>
        </is>
      </c>
      <c r="C69" s="23" t="inlineStr">
        <is>
          <t>No</t>
        </is>
      </c>
      <c r="D69" s="24" t="n">
        <v>46281</v>
      </c>
      <c r="E69" s="23" t="inlineStr">
        <is>
          <t>Wednesday</t>
        </is>
      </c>
      <c r="F69" s="23" t="inlineStr">
        <is>
          <t>Rest</t>
        </is>
      </c>
      <c r="G69" s="23" t="inlineStr">
        <is>
          <t>Full rest</t>
        </is>
      </c>
      <c r="H69" s="23" t="n"/>
      <c r="I69" s="23" t="inlineStr">
        <is>
          <t>-</t>
        </is>
      </c>
      <c r="J69" s="23" t="inlineStr">
        <is>
          <t>Full rest - reduced from 6 to 4 training days/week</t>
        </is>
      </c>
      <c r="K69" s="38" t="inlineStr">
        <is>
          <t>-</t>
        </is>
      </c>
      <c r="L69" s="15" t="n"/>
      <c r="M69" s="15" t="n"/>
      <c r="N69" s="48" t="n"/>
      <c r="O69" s="49">
        <f>IF(AND(ISNUMBER(M76),ISNUMBER(N76),M76&gt;0),(N76/M76)/1440,"")</f>
        <v/>
      </c>
      <c r="P69" s="15" t="n"/>
      <c r="Q69" s="15" t="n"/>
      <c r="R69" s="15" t="n"/>
    </row>
    <row r="70">
      <c r="A70" s="23" t="n">
        <v>9</v>
      </c>
      <c r="B70" s="23" t="inlineStr">
        <is>
          <t>Aerobic build</t>
        </is>
      </c>
      <c r="C70" s="23" t="inlineStr">
        <is>
          <t>No</t>
        </is>
      </c>
      <c r="D70" s="24" t="n">
        <v>46282</v>
      </c>
      <c r="E70" s="23" t="inlineStr">
        <is>
          <t>Thursday</t>
        </is>
      </c>
      <c r="F70" s="23" t="inlineStr">
        <is>
          <t>Run</t>
        </is>
      </c>
      <c r="G70" s="23" t="inlineStr">
        <is>
          <t>Medium-long (MP finish)</t>
        </is>
      </c>
      <c r="H70" s="23" t="n">
        <v>9</v>
      </c>
      <c r="I70" s="23" t="inlineStr">
        <is>
          <t>Steady + MP finish</t>
        </is>
      </c>
      <c r="J70" s="23" t="inlineStr">
        <is>
          <t>Medium-long run with the last 2-3km at marathon-pace effort</t>
        </is>
      </c>
      <c r="K70" s="38" t="inlineStr">
        <is>
          <t>Medium-long + MP finish</t>
        </is>
      </c>
      <c r="L70" s="15" t="n"/>
      <c r="M70" s="15" t="n"/>
      <c r="N70" s="48" t="n"/>
      <c r="O70" s="49">
        <f>IF(AND(ISNUMBER(M78),ISNUMBER(N78),M78&gt;0),(N78/M78)/1440,"")</f>
        <v/>
      </c>
      <c r="P70" s="15" t="n"/>
      <c r="Q70" s="15" t="n"/>
      <c r="R70" s="15" t="n"/>
    </row>
    <row r="71">
      <c r="A71" s="23" t="n">
        <v>9</v>
      </c>
      <c r="B71" s="23" t="inlineStr">
        <is>
          <t>Aerobic build</t>
        </is>
      </c>
      <c r="C71" s="23" t="inlineStr">
        <is>
          <t>No</t>
        </is>
      </c>
      <c r="D71" s="24" t="n">
        <v>46283</v>
      </c>
      <c r="E71" s="23" t="inlineStr">
        <is>
          <t>Friday</t>
        </is>
      </c>
      <c r="F71" s="23" t="inlineStr">
        <is>
          <t>Cross-train</t>
        </is>
      </c>
      <c r="G71" s="23" t="inlineStr">
        <is>
          <t>Elliptical + Hip/Knee</t>
        </is>
      </c>
      <c r="H71" s="23" t="n"/>
      <c r="I71" s="23" t="inlineStr">
        <is>
          <t>Easy-moderate</t>
        </is>
      </c>
      <c r="J71" s="23" t="inlineStr">
        <is>
          <t>Low-impact cross-training + hip/knee injury-prevention work (replaces Gym Push day)</t>
        </is>
      </c>
      <c r="K71" s="38" t="inlineStr">
        <is>
          <t>Elliptical + hip/knee circuit</t>
        </is>
      </c>
      <c r="L71" s="15" t="n"/>
      <c r="M71" s="15" t="n"/>
      <c r="N71" s="48" t="n"/>
      <c r="O71" s="49">
        <f>IF(AND(ISNUMBER(M79),ISNUMBER(N79),M79&gt;0),(N79/M79)/1440,"")</f>
        <v/>
      </c>
      <c r="P71" s="15" t="n"/>
      <c r="Q71" s="15" t="n"/>
      <c r="R71" s="15" t="n"/>
    </row>
    <row r="72">
      <c r="A72" s="23" t="n">
        <v>9</v>
      </c>
      <c r="B72" s="23" t="inlineStr">
        <is>
          <t>Aerobic build</t>
        </is>
      </c>
      <c r="C72" s="23" t="inlineStr">
        <is>
          <t>No</t>
        </is>
      </c>
      <c r="D72" s="24" t="n">
        <v>46284</v>
      </c>
      <c r="E72" s="23" t="inlineStr">
        <is>
          <t>Saturday</t>
        </is>
      </c>
      <c r="F72" s="23" t="inlineStr">
        <is>
          <t>Run</t>
        </is>
      </c>
      <c r="G72" s="23" t="inlineStr">
        <is>
          <t>Long run</t>
        </is>
      </c>
      <c r="H72" s="23" t="n">
        <v>21</v>
      </c>
      <c r="I72" s="23" t="inlineStr">
        <is>
          <t>Easy</t>
        </is>
      </c>
      <c r="J72" s="23" t="inlineStr">
        <is>
          <t>Long run - mostly easy effort, this is about time on feet and aerobic endurance</t>
        </is>
      </c>
      <c r="K72" s="38" t="inlineStr">
        <is>
          <t>Long run - easy</t>
        </is>
      </c>
      <c r="L72" s="15" t="n"/>
      <c r="M72" s="15" t="n"/>
      <c r="N72" s="48" t="n"/>
      <c r="O72" s="49">
        <f>IF(AND(ISNUMBER(M81),ISNUMBER(N81),M81&gt;0),(N81/M81)/1440,"")</f>
        <v/>
      </c>
      <c r="P72" s="15" t="n"/>
      <c r="Q72" s="15" t="n"/>
      <c r="R72" s="15" t="n"/>
    </row>
    <row r="73">
      <c r="A73" s="18" t="n">
        <v>10</v>
      </c>
      <c r="B73" s="18" t="inlineStr">
        <is>
          <t>Aerobic build</t>
        </is>
      </c>
      <c r="C73" s="18" t="inlineStr">
        <is>
          <t>Yes</t>
        </is>
      </c>
      <c r="D73" s="19" t="n">
        <v>46285</v>
      </c>
      <c r="E73" s="18" t="inlineStr">
        <is>
          <t>Sunday</t>
        </is>
      </c>
      <c r="F73" s="18" t="inlineStr">
        <is>
          <t>Rest</t>
        </is>
      </c>
      <c r="G73" s="18" t="inlineStr">
        <is>
          <t>Full rest</t>
        </is>
      </c>
      <c r="H73" s="18" t="n"/>
      <c r="I73" s="18" t="inlineStr">
        <is>
          <t>-</t>
        </is>
      </c>
      <c r="J73" s="18" t="inlineStr">
        <is>
          <t>Recovery after Saturday's long run - deload week, prioritize sleep/nutrition</t>
        </is>
      </c>
      <c r="K73" s="39" t="inlineStr">
        <is>
          <t>-</t>
        </is>
      </c>
      <c r="L73" s="20" t="n"/>
      <c r="M73" s="20" t="n"/>
      <c r="N73" s="50" t="n"/>
      <c r="O73" s="51">
        <f>IF(AND(ISNUMBER(M82),ISNUMBER(N82),M82&gt;0),(N82/M82)/1440,"")</f>
        <v/>
      </c>
      <c r="P73" s="20" t="n"/>
      <c r="Q73" s="20" t="n"/>
      <c r="R73" s="20" t="n"/>
    </row>
    <row r="74">
      <c r="A74" s="25" t="n">
        <v>10</v>
      </c>
      <c r="B74" s="25" t="inlineStr">
        <is>
          <t>Aerobic build</t>
        </is>
      </c>
      <c r="C74" s="25" t="inlineStr">
        <is>
          <t>Yes</t>
        </is>
      </c>
      <c r="D74" s="26" t="n">
        <v>46286</v>
      </c>
      <c r="E74" s="25" t="inlineStr">
        <is>
          <t>Monday</t>
        </is>
      </c>
      <c r="F74" s="25" t="inlineStr">
        <is>
          <t>Gym</t>
        </is>
      </c>
      <c r="G74" s="25" t="inlineStr">
        <is>
          <t>Legs</t>
        </is>
      </c>
      <c r="H74" s="25" t="n"/>
      <c r="I74" s="25" t="inlineStr">
        <is>
          <t>-</t>
        </is>
      </c>
      <c r="J74" s="25" t="inlineStr">
        <is>
          <t>Legs day + easy run</t>
        </is>
      </c>
      <c r="K74" s="39" t="inlineStr">
        <is>
          <t>-</t>
        </is>
      </c>
      <c r="L74" s="20" t="n"/>
      <c r="M74" s="20" t="n"/>
      <c r="N74" s="50" t="n"/>
      <c r="O74" s="51">
        <f>IF(AND(ISNUMBER(M83),ISNUMBER(N83),M83&gt;0),(N83/M83)/1440,"")</f>
        <v/>
      </c>
      <c r="P74" s="20" t="n"/>
      <c r="Q74" s="20" t="n"/>
      <c r="R74" s="20" t="n"/>
    </row>
    <row r="75">
      <c r="A75" s="25" t="n">
        <v>10</v>
      </c>
      <c r="B75" s="25" t="inlineStr">
        <is>
          <t>Aerobic build</t>
        </is>
      </c>
      <c r="C75" s="25" t="inlineStr">
        <is>
          <t>Yes</t>
        </is>
      </c>
      <c r="D75" s="26" t="n">
        <v>46286</v>
      </c>
      <c r="E75" s="25" t="inlineStr">
        <is>
          <t>Monday</t>
        </is>
      </c>
      <c r="F75" s="25" t="inlineStr">
        <is>
          <t>Run</t>
        </is>
      </c>
      <c r="G75" s="25" t="inlineStr">
        <is>
          <t>Easy</t>
        </is>
      </c>
      <c r="H75" s="25" t="n">
        <v>4.5</v>
      </c>
      <c r="I75" s="25" t="inlineStr">
        <is>
          <t>Easy</t>
        </is>
      </c>
      <c r="J75" s="25" t="inlineStr">
        <is>
          <t>Easy/conversational pace</t>
        </is>
      </c>
      <c r="K75" s="39" t="inlineStr">
        <is>
          <t>Easy run</t>
        </is>
      </c>
      <c r="L75" s="20" t="n"/>
      <c r="M75" s="20" t="n"/>
      <c r="N75" s="50" t="n"/>
      <c r="O75" s="51">
        <f>IF(AND(ISNUMBER(M84),ISNUMBER(N84),M84&gt;0),(N84/M84)/1440,"")</f>
        <v/>
      </c>
      <c r="P75" s="20" t="n"/>
      <c r="Q75" s="20" t="n"/>
      <c r="R75" s="20" t="n"/>
    </row>
    <row r="76">
      <c r="A76" s="25" t="n">
        <v>10</v>
      </c>
      <c r="B76" s="25" t="inlineStr">
        <is>
          <t>Aerobic build</t>
        </is>
      </c>
      <c r="C76" s="25" t="inlineStr">
        <is>
          <t>Yes</t>
        </is>
      </c>
      <c r="D76" s="26" t="n">
        <v>46287</v>
      </c>
      <c r="E76" s="25" t="inlineStr">
        <is>
          <t>Tuesday</t>
        </is>
      </c>
      <c r="F76" s="25" t="inlineStr">
        <is>
          <t>Run</t>
        </is>
      </c>
      <c r="G76" s="25" t="inlineStr">
        <is>
          <t>Tempo</t>
        </is>
      </c>
      <c r="H76" s="25" t="n">
        <v>5</v>
      </c>
      <c r="I76" s="25" t="inlineStr">
        <is>
          <t>Tempo</t>
        </is>
      </c>
      <c r="J76" s="25" t="inlineStr">
        <is>
          <t>Deload week - shorten reps/tempo block by ~25%, same structure</t>
        </is>
      </c>
      <c r="K76" s="39" t="inlineStr">
        <is>
          <t>18-min tempo (deload)</t>
        </is>
      </c>
      <c r="L76" s="20" t="n"/>
      <c r="M76" s="20" t="n"/>
      <c r="N76" s="50" t="n"/>
      <c r="O76" s="51">
        <f>IF(AND(ISNUMBER(M85),ISNUMBER(N85),M85&gt;0),(N85/M85)/1440,"")</f>
        <v/>
      </c>
      <c r="P76" s="20" t="n"/>
      <c r="Q76" s="20" t="n"/>
      <c r="R76" s="20" t="n"/>
    </row>
    <row r="77">
      <c r="A77" s="25" t="n">
        <v>10</v>
      </c>
      <c r="B77" s="25" t="inlineStr">
        <is>
          <t>Aerobic build</t>
        </is>
      </c>
      <c r="C77" s="25" t="inlineStr">
        <is>
          <t>Yes</t>
        </is>
      </c>
      <c r="D77" s="26" t="n">
        <v>46288</v>
      </c>
      <c r="E77" s="25" t="inlineStr">
        <is>
          <t>Wednesday</t>
        </is>
      </c>
      <c r="F77" s="25" t="inlineStr">
        <is>
          <t>Rest</t>
        </is>
      </c>
      <c r="G77" s="25" t="inlineStr">
        <is>
          <t>Full rest</t>
        </is>
      </c>
      <c r="H77" s="25" t="n"/>
      <c r="I77" s="25" t="inlineStr">
        <is>
          <t>-</t>
        </is>
      </c>
      <c r="J77" s="25" t="inlineStr">
        <is>
          <t>Full rest - reduced from 6 to 4 training days/week</t>
        </is>
      </c>
      <c r="K77" s="39" t="inlineStr">
        <is>
          <t>-</t>
        </is>
      </c>
      <c r="L77" s="20" t="n"/>
      <c r="M77" s="20" t="n"/>
      <c r="N77" s="50" t="n"/>
      <c r="O77" s="51">
        <f>IF(AND(ISNUMBER(M86),ISNUMBER(N86),M86&gt;0),(N86/M86)/1440,"")</f>
        <v/>
      </c>
      <c r="P77" s="20" t="n"/>
      <c r="Q77" s="20" t="n"/>
      <c r="R77" s="20" t="n"/>
    </row>
    <row r="78">
      <c r="A78" s="25" t="n">
        <v>10</v>
      </c>
      <c r="B78" s="25" t="inlineStr">
        <is>
          <t>Aerobic build</t>
        </is>
      </c>
      <c r="C78" s="25" t="inlineStr">
        <is>
          <t>Yes</t>
        </is>
      </c>
      <c r="D78" s="26" t="n">
        <v>46289</v>
      </c>
      <c r="E78" s="25" t="inlineStr">
        <is>
          <t>Thursday</t>
        </is>
      </c>
      <c r="F78" s="25" t="inlineStr">
        <is>
          <t>Run</t>
        </is>
      </c>
      <c r="G78" s="25" t="inlineStr">
        <is>
          <t>Medium-long (MP finish)</t>
        </is>
      </c>
      <c r="H78" s="25" t="n">
        <v>7</v>
      </c>
      <c r="I78" s="25" t="inlineStr">
        <is>
          <t>Steady + MP finish</t>
        </is>
      </c>
      <c r="J78" s="25" t="inlineStr">
        <is>
          <t>Medium-long run with the last 2-3km at marathon-pace effort - deload, keep it comfortably easy</t>
        </is>
      </c>
      <c r="K78" s="39" t="inlineStr">
        <is>
          <t>Medium-long + MP finish</t>
        </is>
      </c>
      <c r="L78" s="20" t="n"/>
      <c r="M78" s="20" t="n"/>
      <c r="N78" s="50" t="n"/>
      <c r="O78" s="51">
        <f>IF(AND(ISNUMBER(M88),ISNUMBER(N88),M88&gt;0),(N88/M88)/1440,"")</f>
        <v/>
      </c>
      <c r="P78" s="20" t="n"/>
      <c r="Q78" s="20" t="n"/>
      <c r="R78" s="20" t="n"/>
    </row>
    <row r="79">
      <c r="A79" s="25" t="n">
        <v>10</v>
      </c>
      <c r="B79" s="25" t="inlineStr">
        <is>
          <t>Aerobic build</t>
        </is>
      </c>
      <c r="C79" s="25" t="inlineStr">
        <is>
          <t>Yes</t>
        </is>
      </c>
      <c r="D79" s="26" t="n">
        <v>46290</v>
      </c>
      <c r="E79" s="25" t="inlineStr">
        <is>
          <t>Friday</t>
        </is>
      </c>
      <c r="F79" s="25" t="inlineStr">
        <is>
          <t>Cross-train</t>
        </is>
      </c>
      <c r="G79" s="25" t="inlineStr">
        <is>
          <t>Elliptical + Hip/Knee</t>
        </is>
      </c>
      <c r="H79" s="25" t="n"/>
      <c r="I79" s="25" t="inlineStr">
        <is>
          <t>Easy-moderate</t>
        </is>
      </c>
      <c r="J79" s="25" t="inlineStr">
        <is>
          <t>Low-impact cross-training + hip/knee injury-prevention work (replaces Gym Push day)</t>
        </is>
      </c>
      <c r="K79" s="39" t="inlineStr">
        <is>
          <t>Elliptical + hip/knee circuit</t>
        </is>
      </c>
      <c r="L79" s="20" t="n"/>
      <c r="M79" s="20" t="n"/>
      <c r="N79" s="50" t="n"/>
      <c r="O79" s="51">
        <f>IF(AND(ISNUMBER(M89),ISNUMBER(N89),M89&gt;0),(N89/M89)/1440,"")</f>
        <v/>
      </c>
      <c r="P79" s="20" t="n"/>
      <c r="Q79" s="20" t="n"/>
      <c r="R79" s="20" t="n"/>
    </row>
    <row r="80">
      <c r="A80" s="25" t="n">
        <v>10</v>
      </c>
      <c r="B80" s="25" t="inlineStr">
        <is>
          <t>Aerobic build</t>
        </is>
      </c>
      <c r="C80" s="25" t="inlineStr">
        <is>
          <t>Yes</t>
        </is>
      </c>
      <c r="D80" s="26" t="n">
        <v>46291</v>
      </c>
      <c r="E80" s="25" t="inlineStr">
        <is>
          <t>Saturday</t>
        </is>
      </c>
      <c r="F80" s="25" t="inlineStr">
        <is>
          <t>Run</t>
        </is>
      </c>
      <c r="G80" s="25" t="inlineStr">
        <is>
          <t>Long run</t>
        </is>
      </c>
      <c r="H80" s="25" t="n">
        <v>16</v>
      </c>
      <c r="I80" s="25" t="inlineStr">
        <is>
          <t>Easy</t>
        </is>
      </c>
      <c r="J80" s="25" t="inlineStr">
        <is>
          <t>Long run - mostly easy effort, this is about time on feet and aerobic endurance - deload week</t>
        </is>
      </c>
      <c r="K80" s="39" t="inlineStr">
        <is>
          <t>Long run - easy</t>
        </is>
      </c>
      <c r="L80" s="20" t="n"/>
      <c r="M80" s="20" t="n"/>
      <c r="N80" s="50" t="n"/>
      <c r="O80" s="51">
        <f>IF(AND(ISNUMBER(M91),ISNUMBER(N91),M91&gt;0),(N91/M91)/1440,"")</f>
        <v/>
      </c>
      <c r="P80" s="20" t="n"/>
      <c r="Q80" s="20" t="n"/>
      <c r="R80" s="20" t="n"/>
    </row>
    <row r="81">
      <c r="A81" s="16" t="n">
        <v>11</v>
      </c>
      <c r="B81" s="16" t="inlineStr">
        <is>
          <t>Aerobic build</t>
        </is>
      </c>
      <c r="C81" s="16" t="inlineStr">
        <is>
          <t>No</t>
        </is>
      </c>
      <c r="D81" s="17" t="n">
        <v>46292</v>
      </c>
      <c r="E81" s="16" t="inlineStr">
        <is>
          <t>Sunday</t>
        </is>
      </c>
      <c r="F81" s="16" t="inlineStr">
        <is>
          <t>Rest</t>
        </is>
      </c>
      <c r="G81" s="16" t="inlineStr">
        <is>
          <t>Full rest</t>
        </is>
      </c>
      <c r="H81" s="16" t="n"/>
      <c r="I81" s="16" t="inlineStr">
        <is>
          <t>-</t>
        </is>
      </c>
      <c r="J81" s="16" t="inlineStr">
        <is>
          <t>Recovery after Saturday's long run</t>
        </is>
      </c>
      <c r="K81" s="38" t="inlineStr">
        <is>
          <t>-</t>
        </is>
      </c>
      <c r="L81" s="15" t="n"/>
      <c r="M81" s="15" t="n"/>
      <c r="N81" s="48" t="n"/>
      <c r="O81" s="49">
        <f>IF(AND(ISNUMBER(M92),ISNUMBER(N92),M92&gt;0),(N92/M92)/1440,"")</f>
        <v/>
      </c>
      <c r="P81" s="15" t="n"/>
      <c r="Q81" s="15" t="n"/>
      <c r="R81" s="15" t="n"/>
    </row>
    <row r="82">
      <c r="A82" s="23" t="n">
        <v>11</v>
      </c>
      <c r="B82" s="23" t="inlineStr">
        <is>
          <t>Aerobic build</t>
        </is>
      </c>
      <c r="C82" s="23" t="inlineStr">
        <is>
          <t>No</t>
        </is>
      </c>
      <c r="D82" s="24" t="n">
        <v>46293</v>
      </c>
      <c r="E82" s="23" t="inlineStr">
        <is>
          <t>Monday</t>
        </is>
      </c>
      <c r="F82" s="23" t="inlineStr">
        <is>
          <t>Gym</t>
        </is>
      </c>
      <c r="G82" s="23" t="inlineStr">
        <is>
          <t>Legs</t>
        </is>
      </c>
      <c r="H82" s="23" t="n"/>
      <c r="I82" s="23" t="inlineStr">
        <is>
          <t>-</t>
        </is>
      </c>
      <c r="J82" s="23" t="inlineStr">
        <is>
          <t>Legs day + easy run</t>
        </is>
      </c>
      <c r="K82" s="38" t="inlineStr">
        <is>
          <t>-</t>
        </is>
      </c>
      <c r="L82" s="15" t="n"/>
      <c r="M82" s="15" t="n"/>
      <c r="N82" s="48" t="n"/>
      <c r="O82" s="49">
        <f>IF(AND(ISNUMBER(M93),ISNUMBER(N93),M93&gt;0),(N93/M93)/1440,"")</f>
        <v/>
      </c>
      <c r="P82" s="15" t="n"/>
      <c r="Q82" s="15" t="n"/>
      <c r="R82" s="15" t="n"/>
    </row>
    <row r="83">
      <c r="A83" s="23" t="n">
        <v>11</v>
      </c>
      <c r="B83" s="23" t="inlineStr">
        <is>
          <t>Aerobic build</t>
        </is>
      </c>
      <c r="C83" s="23" t="inlineStr">
        <is>
          <t>No</t>
        </is>
      </c>
      <c r="D83" s="24" t="n">
        <v>46293</v>
      </c>
      <c r="E83" s="23" t="inlineStr">
        <is>
          <t>Monday</t>
        </is>
      </c>
      <c r="F83" s="23" t="inlineStr">
        <is>
          <t>Run</t>
        </is>
      </c>
      <c r="G83" s="23" t="inlineStr">
        <is>
          <t>Easy</t>
        </is>
      </c>
      <c r="H83" s="23" t="n">
        <v>5.5</v>
      </c>
      <c r="I83" s="23" t="inlineStr">
        <is>
          <t>Easy</t>
        </is>
      </c>
      <c r="J83" s="23" t="inlineStr">
        <is>
          <t>Easy/conversational pace</t>
        </is>
      </c>
      <c r="K83" s="38" t="inlineStr">
        <is>
          <t>Easy run</t>
        </is>
      </c>
      <c r="L83" s="15" t="n"/>
      <c r="M83" s="15" t="n"/>
      <c r="N83" s="48" t="n"/>
      <c r="O83" s="49">
        <f>IF(AND(ISNUMBER(M94),ISNUMBER(N94),M94&gt;0),(N94/M94)/1440,"")</f>
        <v/>
      </c>
      <c r="P83" s="15" t="n"/>
      <c r="Q83" s="15" t="n"/>
      <c r="R83" s="15" t="n"/>
    </row>
    <row r="84">
      <c r="A84" s="23" t="n">
        <v>11</v>
      </c>
      <c r="B84" s="23" t="inlineStr">
        <is>
          <t>Aerobic build</t>
        </is>
      </c>
      <c r="C84" s="23" t="inlineStr">
        <is>
          <t>No</t>
        </is>
      </c>
      <c r="D84" s="24" t="n">
        <v>46294</v>
      </c>
      <c r="E84" s="23" t="inlineStr">
        <is>
          <t>Tuesday</t>
        </is>
      </c>
      <c r="F84" s="23" t="inlineStr">
        <is>
          <t>Run</t>
        </is>
      </c>
      <c r="G84" s="23" t="inlineStr">
        <is>
          <t>Intervals</t>
        </is>
      </c>
      <c r="H84" s="23" t="n">
        <v>6.5</v>
      </c>
      <c r="I84" s="23" t="inlineStr">
        <is>
          <t>Intervals</t>
        </is>
      </c>
      <c r="J84" s="23" t="inlineStr">
        <is>
          <t>Repeats (e.g. 400-1000m) with equal-time jog recovery, building reps through the phase</t>
        </is>
      </c>
      <c r="K84" s="38" t="inlineStr">
        <is>
          <t>6 x 600 m</t>
        </is>
      </c>
      <c r="L84" s="15" t="n"/>
      <c r="M84" s="15" t="n"/>
      <c r="N84" s="48" t="n"/>
      <c r="O84" s="49">
        <f>IF(AND(ISNUMBER(M95),ISNUMBER(N95),M95&gt;0),(N95/M95)/1440,"")</f>
        <v/>
      </c>
      <c r="P84" s="15" t="n"/>
      <c r="Q84" s="15" t="n"/>
      <c r="R84" s="15" t="n"/>
    </row>
    <row r="85">
      <c r="A85" s="23" t="n">
        <v>11</v>
      </c>
      <c r="B85" s="23" t="inlineStr">
        <is>
          <t>Aerobic build</t>
        </is>
      </c>
      <c r="C85" s="23" t="inlineStr">
        <is>
          <t>No</t>
        </is>
      </c>
      <c r="D85" s="24" t="n">
        <v>46295</v>
      </c>
      <c r="E85" s="23" t="inlineStr">
        <is>
          <t>Wednesday</t>
        </is>
      </c>
      <c r="F85" s="23" t="inlineStr">
        <is>
          <t>Rest</t>
        </is>
      </c>
      <c r="G85" s="23" t="inlineStr">
        <is>
          <t>Full rest</t>
        </is>
      </c>
      <c r="H85" s="23" t="n"/>
      <c r="I85" s="23" t="inlineStr">
        <is>
          <t>-</t>
        </is>
      </c>
      <c r="J85" s="23" t="inlineStr">
        <is>
          <t>Full rest - reduced from 6 to 4 training days/week</t>
        </is>
      </c>
      <c r="K85" s="38" t="inlineStr">
        <is>
          <t>-</t>
        </is>
      </c>
      <c r="L85" s="15" t="n"/>
      <c r="M85" s="15" t="n"/>
      <c r="N85" s="48" t="n"/>
      <c r="O85" s="49">
        <f>IF(AND(ISNUMBER(M96),ISNUMBER(N96),M96&gt;0),(N96/M96)/1440,"")</f>
        <v/>
      </c>
      <c r="P85" s="15" t="n"/>
      <c r="Q85" s="15" t="n"/>
      <c r="R85" s="15" t="n"/>
    </row>
    <row r="86">
      <c r="A86" s="23" t="n">
        <v>11</v>
      </c>
      <c r="B86" s="23" t="inlineStr">
        <is>
          <t>Aerobic build</t>
        </is>
      </c>
      <c r="C86" s="23" t="inlineStr">
        <is>
          <t>No</t>
        </is>
      </c>
      <c r="D86" s="24" t="n">
        <v>46296</v>
      </c>
      <c r="E86" s="23" t="inlineStr">
        <is>
          <t>Thursday</t>
        </is>
      </c>
      <c r="F86" s="23" t="inlineStr">
        <is>
          <t>Run</t>
        </is>
      </c>
      <c r="G86" s="23" t="inlineStr">
        <is>
          <t>Medium-long (MP finish)</t>
        </is>
      </c>
      <c r="H86" s="23" t="n">
        <v>9</v>
      </c>
      <c r="I86" s="23" t="inlineStr">
        <is>
          <t>Steady + MP finish</t>
        </is>
      </c>
      <c r="J86" s="23" t="inlineStr">
        <is>
          <t>Medium-long run with the last 2-3km at marathon-pace effort</t>
        </is>
      </c>
      <c r="K86" s="38" t="inlineStr">
        <is>
          <t>Medium-long + MP finish</t>
        </is>
      </c>
      <c r="L86" s="15" t="n"/>
      <c r="M86" s="15" t="n"/>
      <c r="N86" s="48" t="n"/>
      <c r="O86" s="49">
        <f>IF(AND(ISNUMBER(M98),ISNUMBER(N98),M98&gt;0),(N98/M98)/1440,"")</f>
        <v/>
      </c>
      <c r="P86" s="15" t="n"/>
      <c r="Q86" s="15" t="n"/>
      <c r="R86" s="15" t="n"/>
    </row>
    <row r="87">
      <c r="A87" s="23" t="n">
        <v>11</v>
      </c>
      <c r="B87" s="23" t="inlineStr">
        <is>
          <t>Aerobic build</t>
        </is>
      </c>
      <c r="C87" s="23" t="inlineStr">
        <is>
          <t>No</t>
        </is>
      </c>
      <c r="D87" s="24" t="n">
        <v>46297</v>
      </c>
      <c r="E87" s="23" t="inlineStr">
        <is>
          <t>Friday</t>
        </is>
      </c>
      <c r="F87" s="23" t="inlineStr">
        <is>
          <t>Cross-train</t>
        </is>
      </c>
      <c r="G87" s="23" t="inlineStr">
        <is>
          <t>Elliptical + Hip/Knee</t>
        </is>
      </c>
      <c r="H87" s="23" t="n"/>
      <c r="I87" s="23" t="inlineStr">
        <is>
          <t>Easy-moderate</t>
        </is>
      </c>
      <c r="J87" s="23" t="inlineStr">
        <is>
          <t>Low-impact cross-training + hip/knee injury-prevention work (replaces Gym Push day)</t>
        </is>
      </c>
      <c r="K87" s="38" t="inlineStr">
        <is>
          <t>Elliptical + hip/knee circuit</t>
        </is>
      </c>
      <c r="L87" s="15" t="n"/>
      <c r="M87" s="15" t="n"/>
      <c r="N87" s="48" t="n"/>
      <c r="O87" s="49">
        <f>IF(AND(ISNUMBER(M99),ISNUMBER(N99),M99&gt;0),(N99/M99)/1440,"")</f>
        <v/>
      </c>
      <c r="P87" s="15" t="n"/>
      <c r="Q87" s="15" t="n"/>
      <c r="R87" s="15" t="n"/>
    </row>
    <row r="88">
      <c r="A88" s="23" t="n">
        <v>11</v>
      </c>
      <c r="B88" s="23" t="inlineStr">
        <is>
          <t>Aerobic build</t>
        </is>
      </c>
      <c r="C88" s="23" t="inlineStr">
        <is>
          <t>No</t>
        </is>
      </c>
      <c r="D88" s="24" t="n">
        <v>46298</v>
      </c>
      <c r="E88" s="23" t="inlineStr">
        <is>
          <t>Saturday</t>
        </is>
      </c>
      <c r="F88" s="23" t="inlineStr">
        <is>
          <t>Run</t>
        </is>
      </c>
      <c r="G88" s="23" t="inlineStr">
        <is>
          <t>Long run</t>
        </is>
      </c>
      <c r="H88" s="23" t="n">
        <v>20</v>
      </c>
      <c r="I88" s="23" t="inlineStr">
        <is>
          <t>Easy</t>
        </is>
      </c>
      <c r="J88" s="23" t="inlineStr">
        <is>
          <t>Long run - mostly easy effort, this is about time on feet and aerobic endurance</t>
        </is>
      </c>
      <c r="K88" s="38" t="inlineStr">
        <is>
          <t>Long run - easy</t>
        </is>
      </c>
      <c r="L88" s="15" t="n"/>
      <c r="M88" s="15" t="n"/>
      <c r="N88" s="48" t="n"/>
      <c r="O88" s="49">
        <f>IF(AND(ISNUMBER(M101),ISNUMBER(N101),M101&gt;0),(N101/M101)/1440,"")</f>
        <v/>
      </c>
      <c r="P88" s="15" t="n"/>
      <c r="Q88" s="15" t="n"/>
      <c r="R88" s="15" t="n"/>
    </row>
    <row r="89">
      <c r="A89" s="16" t="n">
        <v>12</v>
      </c>
      <c r="B89" s="16" t="inlineStr">
        <is>
          <t>Aerobic build</t>
        </is>
      </c>
      <c r="C89" s="16" t="inlineStr">
        <is>
          <t>No</t>
        </is>
      </c>
      <c r="D89" s="17" t="n">
        <v>46299</v>
      </c>
      <c r="E89" s="16" t="inlineStr">
        <is>
          <t>Sunday</t>
        </is>
      </c>
      <c r="F89" s="16" t="inlineStr">
        <is>
          <t>Rest</t>
        </is>
      </c>
      <c r="G89" s="16" t="inlineStr">
        <is>
          <t>Full rest</t>
        </is>
      </c>
      <c r="H89" s="16" t="n"/>
      <c r="I89" s="16" t="inlineStr">
        <is>
          <t>-</t>
        </is>
      </c>
      <c r="J89" s="16" t="inlineStr">
        <is>
          <t>Recovery after Saturday's long run</t>
        </is>
      </c>
      <c r="K89" s="38" t="inlineStr">
        <is>
          <t>-</t>
        </is>
      </c>
      <c r="L89" s="15" t="n"/>
      <c r="M89" s="15" t="n"/>
      <c r="N89" s="48" t="n"/>
      <c r="O89" s="49">
        <f>IF(AND(ISNUMBER(M102),ISNUMBER(N102),M102&gt;0),(N102/M102)/1440,"")</f>
        <v/>
      </c>
      <c r="P89" s="15" t="n"/>
      <c r="Q89" s="15" t="n"/>
      <c r="R89" s="15" t="n"/>
    </row>
    <row r="90">
      <c r="A90" s="23" t="n">
        <v>12</v>
      </c>
      <c r="B90" s="23" t="inlineStr">
        <is>
          <t>Aerobic build</t>
        </is>
      </c>
      <c r="C90" s="23" t="inlineStr">
        <is>
          <t>No</t>
        </is>
      </c>
      <c r="D90" s="24" t="n">
        <v>46300</v>
      </c>
      <c r="E90" s="23" t="inlineStr">
        <is>
          <t>Monday</t>
        </is>
      </c>
      <c r="F90" s="23" t="inlineStr">
        <is>
          <t>Gym</t>
        </is>
      </c>
      <c r="G90" s="23" t="inlineStr">
        <is>
          <t>Legs</t>
        </is>
      </c>
      <c r="H90" s="23" t="n"/>
      <c r="I90" s="23" t="inlineStr">
        <is>
          <t>-</t>
        </is>
      </c>
      <c r="J90" s="23" t="inlineStr">
        <is>
          <t>Legs day + easy run</t>
        </is>
      </c>
      <c r="K90" s="38" t="inlineStr">
        <is>
          <t>-</t>
        </is>
      </c>
      <c r="L90" s="15" t="n"/>
      <c r="M90" s="15" t="n"/>
      <c r="N90" s="48" t="n"/>
      <c r="O90" s="49">
        <f>IF(AND(ISNUMBER(M103),ISNUMBER(N103),M103&gt;0),(N103/M103)/1440,"")</f>
        <v/>
      </c>
      <c r="P90" s="15" t="n"/>
      <c r="Q90" s="15" t="n"/>
      <c r="R90" s="15" t="n"/>
    </row>
    <row r="91">
      <c r="A91" s="23" t="n">
        <v>12</v>
      </c>
      <c r="B91" s="23" t="inlineStr">
        <is>
          <t>Aerobic build</t>
        </is>
      </c>
      <c r="C91" s="23" t="inlineStr">
        <is>
          <t>No</t>
        </is>
      </c>
      <c r="D91" s="24" t="n">
        <v>46300</v>
      </c>
      <c r="E91" s="23" t="inlineStr">
        <is>
          <t>Monday</t>
        </is>
      </c>
      <c r="F91" s="23" t="inlineStr">
        <is>
          <t>Run</t>
        </is>
      </c>
      <c r="G91" s="23" t="inlineStr">
        <is>
          <t>Easy</t>
        </is>
      </c>
      <c r="H91" s="23" t="n">
        <v>5.5</v>
      </c>
      <c r="I91" s="23" t="inlineStr">
        <is>
          <t>Easy</t>
        </is>
      </c>
      <c r="J91" s="23" t="inlineStr">
        <is>
          <t>Easy/conversational pace</t>
        </is>
      </c>
      <c r="K91" s="38" t="inlineStr">
        <is>
          <t>Easy run</t>
        </is>
      </c>
      <c r="L91" s="15" t="n"/>
      <c r="M91" s="15" t="n"/>
      <c r="N91" s="48" t="n"/>
      <c r="O91" s="49">
        <f>IF(AND(ISNUMBER(M104),ISNUMBER(N104),M104&gt;0),(N104/M104)/1440,"")</f>
        <v/>
      </c>
      <c r="P91" s="15" t="n"/>
      <c r="Q91" s="15" t="n"/>
      <c r="R91" s="15" t="n"/>
    </row>
    <row r="92">
      <c r="A92" s="23" t="n">
        <v>12</v>
      </c>
      <c r="B92" s="23" t="inlineStr">
        <is>
          <t>Aerobic build</t>
        </is>
      </c>
      <c r="C92" s="23" t="inlineStr">
        <is>
          <t>No</t>
        </is>
      </c>
      <c r="D92" s="24" t="n">
        <v>46301</v>
      </c>
      <c r="E92" s="23" t="inlineStr">
        <is>
          <t>Tuesday</t>
        </is>
      </c>
      <c r="F92" s="23" t="inlineStr">
        <is>
          <t>Run</t>
        </is>
      </c>
      <c r="G92" s="23" t="inlineStr">
        <is>
          <t>Tempo</t>
        </is>
      </c>
      <c r="H92" s="23" t="n">
        <v>6.5</v>
      </c>
      <c r="I92" s="23" t="inlineStr">
        <is>
          <t>Tempo</t>
        </is>
      </c>
      <c r="J92" s="23" t="inlineStr">
        <is>
          <t>Continuous tempo block within the session, building duration through the phase</t>
        </is>
      </c>
      <c r="K92" s="38" t="inlineStr">
        <is>
          <t>25-min tempo</t>
        </is>
      </c>
      <c r="L92" s="15" t="n"/>
      <c r="M92" s="15" t="n"/>
      <c r="N92" s="48" t="n"/>
      <c r="O92" s="49">
        <f>IF(AND(ISNUMBER(M105),ISNUMBER(N105),M105&gt;0),(N105/M105)/1440,"")</f>
        <v/>
      </c>
      <c r="P92" s="15" t="n"/>
      <c r="Q92" s="15" t="n"/>
      <c r="R92" s="15" t="n"/>
    </row>
    <row r="93">
      <c r="A93" s="23" t="n">
        <v>12</v>
      </c>
      <c r="B93" s="23" t="inlineStr">
        <is>
          <t>Aerobic build</t>
        </is>
      </c>
      <c r="C93" s="23" t="inlineStr">
        <is>
          <t>No</t>
        </is>
      </c>
      <c r="D93" s="24" t="n">
        <v>46302</v>
      </c>
      <c r="E93" s="23" t="inlineStr">
        <is>
          <t>Wednesday</t>
        </is>
      </c>
      <c r="F93" s="23" t="inlineStr">
        <is>
          <t>Rest</t>
        </is>
      </c>
      <c r="G93" s="23" t="inlineStr">
        <is>
          <t>Full rest</t>
        </is>
      </c>
      <c r="H93" s="23" t="n"/>
      <c r="I93" s="23" t="inlineStr">
        <is>
          <t>-</t>
        </is>
      </c>
      <c r="J93" s="23" t="inlineStr">
        <is>
          <t>Full rest - reduced from 6 to 4 training days/week</t>
        </is>
      </c>
      <c r="K93" s="38" t="inlineStr">
        <is>
          <t>-</t>
        </is>
      </c>
      <c r="L93" s="15" t="n"/>
      <c r="M93" s="15" t="n"/>
      <c r="N93" s="48" t="n"/>
      <c r="O93" s="49">
        <f>IF(AND(ISNUMBER(M106),ISNUMBER(N106),M106&gt;0),(N106/M106)/1440,"")</f>
        <v/>
      </c>
      <c r="P93" s="15" t="n"/>
      <c r="Q93" s="15" t="n"/>
      <c r="R93" s="15" t="n"/>
    </row>
    <row r="94">
      <c r="A94" s="23" t="n">
        <v>12</v>
      </c>
      <c r="B94" s="23" t="inlineStr">
        <is>
          <t>Aerobic build</t>
        </is>
      </c>
      <c r="C94" s="23" t="inlineStr">
        <is>
          <t>No</t>
        </is>
      </c>
      <c r="D94" s="24" t="n">
        <v>46303</v>
      </c>
      <c r="E94" s="23" t="inlineStr">
        <is>
          <t>Thursday</t>
        </is>
      </c>
      <c r="F94" s="23" t="inlineStr">
        <is>
          <t>Run</t>
        </is>
      </c>
      <c r="G94" s="23" t="inlineStr">
        <is>
          <t>Medium-long (MP finish)</t>
        </is>
      </c>
      <c r="H94" s="23" t="n">
        <v>10</v>
      </c>
      <c r="I94" s="23" t="inlineStr">
        <is>
          <t>Steady + MP finish</t>
        </is>
      </c>
      <c r="J94" s="23" t="inlineStr">
        <is>
          <t>Medium-long run with the last 2-3km at marathon-pace effort</t>
        </is>
      </c>
      <c r="K94" s="38" t="inlineStr">
        <is>
          <t>Medium-long + MP finish</t>
        </is>
      </c>
      <c r="L94" s="15" t="n"/>
      <c r="M94" s="15" t="n"/>
      <c r="N94" s="48" t="n"/>
      <c r="O94" s="49">
        <f>IF(AND(ISNUMBER(M108),ISNUMBER(N108),M108&gt;0),(N108/M108)/1440,"")</f>
        <v/>
      </c>
      <c r="P94" s="15" t="n"/>
      <c r="Q94" s="15" t="n"/>
      <c r="R94" s="15" t="n"/>
    </row>
    <row r="95">
      <c r="A95" s="23" t="n">
        <v>12</v>
      </c>
      <c r="B95" s="23" t="inlineStr">
        <is>
          <t>Aerobic build</t>
        </is>
      </c>
      <c r="C95" s="23" t="inlineStr">
        <is>
          <t>No</t>
        </is>
      </c>
      <c r="D95" s="24" t="n">
        <v>46304</v>
      </c>
      <c r="E95" s="23" t="inlineStr">
        <is>
          <t>Friday</t>
        </is>
      </c>
      <c r="F95" s="23" t="inlineStr">
        <is>
          <t>Cross-train</t>
        </is>
      </c>
      <c r="G95" s="23" t="inlineStr">
        <is>
          <t>Elliptical + Hip/Knee</t>
        </is>
      </c>
      <c r="H95" s="23" t="n"/>
      <c r="I95" s="23" t="inlineStr">
        <is>
          <t>Easy-moderate</t>
        </is>
      </c>
      <c r="J95" s="23" t="inlineStr">
        <is>
          <t>Low-impact cross-training + hip/knee injury-prevention work (replaces Gym Push day)</t>
        </is>
      </c>
      <c r="K95" s="38" t="inlineStr">
        <is>
          <t>Elliptical + hip/knee circuit</t>
        </is>
      </c>
      <c r="L95" s="15" t="n"/>
      <c r="M95" s="15" t="n"/>
      <c r="N95" s="48" t="n"/>
      <c r="O95" s="49">
        <f>IF(AND(ISNUMBER(M109),ISNUMBER(N109),M109&gt;0),(N109/M109)/1440,"")</f>
        <v/>
      </c>
      <c r="P95" s="15" t="n"/>
      <c r="Q95" s="15" t="n"/>
      <c r="R95" s="15" t="n"/>
    </row>
    <row r="96">
      <c r="A96" s="23" t="n">
        <v>12</v>
      </c>
      <c r="B96" s="23" t="inlineStr">
        <is>
          <t>Aerobic build</t>
        </is>
      </c>
      <c r="C96" s="23" t="inlineStr">
        <is>
          <t>No</t>
        </is>
      </c>
      <c r="D96" s="24" t="n">
        <v>46305</v>
      </c>
      <c r="E96" s="23" t="inlineStr">
        <is>
          <t>Saturday</t>
        </is>
      </c>
      <c r="F96" s="23" t="inlineStr">
        <is>
          <t>Run</t>
        </is>
      </c>
      <c r="G96" s="23" t="inlineStr">
        <is>
          <t>Long run</t>
        </is>
      </c>
      <c r="H96" s="23" t="n">
        <v>22</v>
      </c>
      <c r="I96" s="23" t="inlineStr">
        <is>
          <t>Easy</t>
        </is>
      </c>
      <c r="J96" s="23" t="inlineStr">
        <is>
          <t>Long run - mostly easy effort, this is about time on feet and aerobic endurance</t>
        </is>
      </c>
      <c r="K96" s="38" t="inlineStr">
        <is>
          <t>Long run - easy</t>
        </is>
      </c>
      <c r="L96" s="15" t="n"/>
      <c r="M96" s="15" t="n"/>
      <c r="N96" s="48" t="n"/>
      <c r="O96" s="49">
        <f>IF(AND(ISNUMBER(M111),ISNUMBER(N111),M111&gt;0),(N111/M111)/1440,"")</f>
        <v/>
      </c>
      <c r="P96" s="15" t="n"/>
      <c r="Q96" s="15" t="n"/>
      <c r="R96" s="15" t="n"/>
    </row>
    <row r="97">
      <c r="A97" s="16" t="n">
        <v>13</v>
      </c>
      <c r="B97" s="16" t="inlineStr">
        <is>
          <t>Aerobic build</t>
        </is>
      </c>
      <c r="C97" s="16" t="inlineStr">
        <is>
          <t>No</t>
        </is>
      </c>
      <c r="D97" s="17" t="n">
        <v>46306</v>
      </c>
      <c r="E97" s="16" t="inlineStr">
        <is>
          <t>Sunday</t>
        </is>
      </c>
      <c r="F97" s="16" t="inlineStr">
        <is>
          <t>Rest</t>
        </is>
      </c>
      <c r="G97" s="16" t="inlineStr">
        <is>
          <t>Full rest</t>
        </is>
      </c>
      <c r="H97" s="16" t="n"/>
      <c r="I97" s="16" t="inlineStr">
        <is>
          <t>-</t>
        </is>
      </c>
      <c r="J97" s="16" t="inlineStr">
        <is>
          <t>Recovery after Saturday's long run</t>
        </is>
      </c>
      <c r="K97" s="38" t="inlineStr">
        <is>
          <t>-</t>
        </is>
      </c>
      <c r="L97" s="15" t="n"/>
      <c r="M97" s="15" t="n"/>
      <c r="N97" s="48" t="n"/>
      <c r="O97" s="49">
        <f>IF(AND(ISNUMBER(M112),ISNUMBER(N112),M112&gt;0),(N112/M112)/1440,"")</f>
        <v/>
      </c>
      <c r="P97" s="15" t="n"/>
      <c r="Q97" s="15" t="n"/>
      <c r="R97" s="15" t="n"/>
    </row>
    <row r="98">
      <c r="A98" s="23" t="n">
        <v>13</v>
      </c>
      <c r="B98" s="23" t="inlineStr">
        <is>
          <t>Aerobic build</t>
        </is>
      </c>
      <c r="C98" s="23" t="inlineStr">
        <is>
          <t>No</t>
        </is>
      </c>
      <c r="D98" s="24" t="n">
        <v>46307</v>
      </c>
      <c r="E98" s="23" t="inlineStr">
        <is>
          <t>Monday</t>
        </is>
      </c>
      <c r="F98" s="23" t="inlineStr">
        <is>
          <t>Gym</t>
        </is>
      </c>
      <c r="G98" s="23" t="inlineStr">
        <is>
          <t>Legs</t>
        </is>
      </c>
      <c r="H98" s="23" t="n"/>
      <c r="I98" s="23" t="inlineStr">
        <is>
          <t>-</t>
        </is>
      </c>
      <c r="J98" s="23" t="inlineStr">
        <is>
          <t>Legs day + easy run</t>
        </is>
      </c>
      <c r="K98" s="38" t="inlineStr">
        <is>
          <t>-</t>
        </is>
      </c>
      <c r="L98" s="15" t="n"/>
      <c r="M98" s="15" t="n"/>
      <c r="N98" s="48" t="n"/>
      <c r="O98" s="49">
        <f>IF(AND(ISNUMBER(M113),ISNUMBER(N113),M113&gt;0),(N113/M113)/1440,"")</f>
        <v/>
      </c>
      <c r="P98" s="15" t="n"/>
      <c r="Q98" s="15" t="n"/>
      <c r="R98" s="15" t="n"/>
    </row>
    <row r="99">
      <c r="A99" s="23" t="n">
        <v>13</v>
      </c>
      <c r="B99" s="23" t="inlineStr">
        <is>
          <t>Aerobic build</t>
        </is>
      </c>
      <c r="C99" s="23" t="inlineStr">
        <is>
          <t>No</t>
        </is>
      </c>
      <c r="D99" s="24" t="n">
        <v>46307</v>
      </c>
      <c r="E99" s="23" t="inlineStr">
        <is>
          <t>Monday</t>
        </is>
      </c>
      <c r="F99" s="23" t="inlineStr">
        <is>
          <t>Run</t>
        </is>
      </c>
      <c r="G99" s="23" t="inlineStr">
        <is>
          <t>Easy</t>
        </is>
      </c>
      <c r="H99" s="23" t="n">
        <v>5.5</v>
      </c>
      <c r="I99" s="23" t="inlineStr">
        <is>
          <t>Easy</t>
        </is>
      </c>
      <c r="J99" s="23" t="inlineStr">
        <is>
          <t>Easy/conversational pace</t>
        </is>
      </c>
      <c r="K99" s="38" t="inlineStr">
        <is>
          <t>Easy run</t>
        </is>
      </c>
      <c r="L99" s="15" t="n"/>
      <c r="M99" s="15" t="n"/>
      <c r="N99" s="48" t="n"/>
      <c r="O99" s="49">
        <f>IF(AND(ISNUMBER(M114),ISNUMBER(N114),M114&gt;0),(N114/M114)/1440,"")</f>
        <v/>
      </c>
      <c r="P99" s="15" t="n"/>
      <c r="Q99" s="15" t="n"/>
      <c r="R99" s="15" t="n"/>
    </row>
    <row r="100">
      <c r="A100" s="23" t="n">
        <v>13</v>
      </c>
      <c r="B100" s="23" t="inlineStr">
        <is>
          <t>Aerobic build</t>
        </is>
      </c>
      <c r="C100" s="23" t="inlineStr">
        <is>
          <t>No</t>
        </is>
      </c>
      <c r="D100" s="24" t="n">
        <v>46308</v>
      </c>
      <c r="E100" s="23" t="inlineStr">
        <is>
          <t>Tuesday</t>
        </is>
      </c>
      <c r="F100" s="23" t="inlineStr">
        <is>
          <t>Run</t>
        </is>
      </c>
      <c r="G100" s="23" t="inlineStr">
        <is>
          <t>Easy</t>
        </is>
      </c>
      <c r="H100" s="23" t="n">
        <v>5.5</v>
      </c>
      <c r="I100" s="23" t="inlineStr">
        <is>
          <t>Easy</t>
        </is>
      </c>
      <c r="J100" s="23" t="inlineStr">
        <is>
          <t>Easy - protect the legs, half-marathon time trial is Saturday</t>
        </is>
      </c>
      <c r="K100" s="38" t="inlineStr">
        <is>
          <t>Easy run</t>
        </is>
      </c>
      <c r="L100" s="15" t="n"/>
      <c r="M100" s="15" t="n"/>
      <c r="N100" s="48" t="n"/>
      <c r="O100" s="49">
        <f>IF(AND(ISNUMBER(M115),ISNUMBER(N115),M115&gt;0),(N115/M115)/1440,"")</f>
        <v/>
      </c>
      <c r="P100" s="15" t="n"/>
      <c r="Q100" s="15" t="n"/>
      <c r="R100" s="15" t="n"/>
    </row>
    <row r="101">
      <c r="A101" s="23" t="n">
        <v>13</v>
      </c>
      <c r="B101" s="23" t="inlineStr">
        <is>
          <t>Aerobic build</t>
        </is>
      </c>
      <c r="C101" s="23" t="inlineStr">
        <is>
          <t>No</t>
        </is>
      </c>
      <c r="D101" s="24" t="n">
        <v>46309</v>
      </c>
      <c r="E101" s="23" t="inlineStr">
        <is>
          <t>Wednesday</t>
        </is>
      </c>
      <c r="F101" s="23" t="inlineStr">
        <is>
          <t>Rest</t>
        </is>
      </c>
      <c r="G101" s="23" t="inlineStr">
        <is>
          <t>Full rest</t>
        </is>
      </c>
      <c r="H101" s="23" t="n"/>
      <c r="I101" s="23" t="inlineStr">
        <is>
          <t>-</t>
        </is>
      </c>
      <c r="J101" s="23" t="inlineStr">
        <is>
          <t>Full rest - reduced from 6 to 4 training days/week</t>
        </is>
      </c>
      <c r="K101" s="38" t="inlineStr">
        <is>
          <t>-</t>
        </is>
      </c>
      <c r="L101" s="15" t="n"/>
      <c r="M101" s="15" t="n"/>
      <c r="N101" s="48" t="n"/>
      <c r="O101" s="49">
        <f>IF(AND(ISNUMBER(M116),ISNUMBER(N116),M116&gt;0),(N116/M116)/1440,"")</f>
        <v/>
      </c>
      <c r="P101" s="15" t="n"/>
      <c r="Q101" s="15" t="n"/>
      <c r="R101" s="15" t="n"/>
    </row>
    <row r="102">
      <c r="A102" s="23" t="n">
        <v>13</v>
      </c>
      <c r="B102" s="23" t="inlineStr">
        <is>
          <t>Aerobic build</t>
        </is>
      </c>
      <c r="C102" s="23" t="inlineStr">
        <is>
          <t>No</t>
        </is>
      </c>
      <c r="D102" s="24" t="n">
        <v>46310</v>
      </c>
      <c r="E102" s="23" t="inlineStr">
        <is>
          <t>Thursday</t>
        </is>
      </c>
      <c r="F102" s="23" t="inlineStr">
        <is>
          <t>Run</t>
        </is>
      </c>
      <c r="G102" s="23" t="inlineStr">
        <is>
          <t>Medium-long (MP finish)</t>
        </is>
      </c>
      <c r="H102" s="23" t="n">
        <v>8</v>
      </c>
      <c r="I102" s="23" t="inlineStr">
        <is>
          <t>Steady + MP finish</t>
        </is>
      </c>
      <c r="J102" s="23" t="inlineStr">
        <is>
          <t>Medium-long run with the last 2-3km at marathon-pace effort</t>
        </is>
      </c>
      <c r="K102" s="38" t="inlineStr">
        <is>
          <t>Medium-long + MP finish</t>
        </is>
      </c>
      <c r="L102" s="15" t="n"/>
      <c r="M102" s="15" t="n"/>
      <c r="N102" s="48" t="n"/>
      <c r="O102" s="49">
        <f>IF(AND(ISNUMBER(M118),ISNUMBER(N118),M118&gt;0),(N118/M118)/1440,"")</f>
        <v/>
      </c>
      <c r="P102" s="15" t="n"/>
      <c r="Q102" s="15" t="n"/>
      <c r="R102" s="15" t="n"/>
    </row>
    <row r="103">
      <c r="A103" s="23" t="n">
        <v>13</v>
      </c>
      <c r="B103" s="23" t="inlineStr">
        <is>
          <t>Aerobic build</t>
        </is>
      </c>
      <c r="C103" s="23" t="inlineStr">
        <is>
          <t>No</t>
        </is>
      </c>
      <c r="D103" s="24" t="n">
        <v>46311</v>
      </c>
      <c r="E103" s="23" t="inlineStr">
        <is>
          <t>Friday</t>
        </is>
      </c>
      <c r="F103" s="23" t="inlineStr">
        <is>
          <t>Cross-train</t>
        </is>
      </c>
      <c r="G103" s="23" t="inlineStr">
        <is>
          <t>Elliptical + Hip/Knee</t>
        </is>
      </c>
      <c r="H103" s="23" t="n"/>
      <c r="I103" s="23" t="inlineStr">
        <is>
          <t>Easy-moderate</t>
        </is>
      </c>
      <c r="J103" s="23" t="inlineStr">
        <is>
          <t>Low-impact cross-training + hip/knee injury-prevention work (replaces Gym Push day)</t>
        </is>
      </c>
      <c r="K103" s="38" t="inlineStr">
        <is>
          <t>Elliptical + hip/knee circuit</t>
        </is>
      </c>
      <c r="L103" s="15" t="n"/>
      <c r="M103" s="15" t="n"/>
      <c r="N103" s="48" t="n"/>
      <c r="O103" s="49">
        <f>IF(AND(ISNUMBER(M119),ISNUMBER(N119),M119&gt;0),(N119/M119)/1440,"")</f>
        <v/>
      </c>
      <c r="P103" s="15" t="n"/>
      <c r="Q103" s="15" t="n"/>
      <c r="R103" s="15" t="n"/>
    </row>
    <row r="104">
      <c r="A104" s="23" t="n">
        <v>13</v>
      </c>
      <c r="B104" s="23" t="inlineStr">
        <is>
          <t>Aerobic build</t>
        </is>
      </c>
      <c r="C104" s="23" t="inlineStr">
        <is>
          <t>No</t>
        </is>
      </c>
      <c r="D104" s="24" t="n">
        <v>46312</v>
      </c>
      <c r="E104" s="23" t="inlineStr">
        <is>
          <t>Saturday</t>
        </is>
      </c>
      <c r="F104" s="23" t="inlineStr">
        <is>
          <t>Run</t>
        </is>
      </c>
      <c r="G104" s="23" t="inlineStr">
        <is>
          <t>Half-marathon time trial</t>
        </is>
      </c>
      <c r="H104" s="23" t="n">
        <v>21.1</v>
      </c>
      <c r="I104" s="23" t="inlineStr">
        <is>
          <t>Hard/race effort</t>
        </is>
      </c>
      <c r="J104" s="23" t="inlineStr">
        <is>
          <t>Run this as a genuine half-marathon effort - result recalibrates marathon goal pace (HM time x ~2.11)</t>
        </is>
      </c>
      <c r="K104" s="38" t="inlineStr">
        <is>
          <t>Half-marathon time trial</t>
        </is>
      </c>
      <c r="L104" s="15" t="n"/>
      <c r="M104" s="15" t="n"/>
      <c r="N104" s="48" t="n"/>
      <c r="O104" s="49">
        <f>IF(AND(ISNUMBER(M121),ISNUMBER(N121),M121&gt;0),(N121/M121)/1440,"")</f>
        <v/>
      </c>
      <c r="P104" s="15" t="n"/>
      <c r="Q104" s="15" t="n"/>
      <c r="R104" s="15" t="n"/>
    </row>
    <row r="105">
      <c r="A105" s="18" t="n">
        <v>14</v>
      </c>
      <c r="B105" s="18" t="inlineStr">
        <is>
          <t>Peak</t>
        </is>
      </c>
      <c r="C105" s="18" t="inlineStr">
        <is>
          <t>Yes</t>
        </is>
      </c>
      <c r="D105" s="19" t="n">
        <v>46313</v>
      </c>
      <c r="E105" s="18" t="inlineStr">
        <is>
          <t>Sunday</t>
        </is>
      </c>
      <c r="F105" s="18" t="inlineStr">
        <is>
          <t>Rest</t>
        </is>
      </c>
      <c r="G105" s="18" t="inlineStr">
        <is>
          <t>Full rest</t>
        </is>
      </c>
      <c r="H105" s="18" t="n"/>
      <c r="I105" s="18" t="inlineStr">
        <is>
          <t>-</t>
        </is>
      </c>
      <c r="J105" s="18" t="inlineStr">
        <is>
          <t>Recovery after Saturday's long run - deload week, prioritize sleep/nutrition</t>
        </is>
      </c>
      <c r="K105" s="39" t="inlineStr">
        <is>
          <t>-</t>
        </is>
      </c>
      <c r="L105" s="20" t="n"/>
      <c r="M105" s="20" t="n"/>
      <c r="N105" s="50" t="n"/>
      <c r="O105" s="51">
        <f>IF(AND(ISNUMBER(M122),ISNUMBER(N122),M122&gt;0),(N122/M122)/1440,"")</f>
        <v/>
      </c>
      <c r="P105" s="20" t="n"/>
      <c r="Q105" s="20" t="n"/>
      <c r="R105" s="20" t="n"/>
    </row>
    <row r="106">
      <c r="A106" s="27" t="n">
        <v>14</v>
      </c>
      <c r="B106" s="27" t="inlineStr">
        <is>
          <t>Peak</t>
        </is>
      </c>
      <c r="C106" s="27" t="inlineStr">
        <is>
          <t>Yes</t>
        </is>
      </c>
      <c r="D106" s="28" t="n">
        <v>46314</v>
      </c>
      <c r="E106" s="27" t="inlineStr">
        <is>
          <t>Monday</t>
        </is>
      </c>
      <c r="F106" s="27" t="inlineStr">
        <is>
          <t>Gym</t>
        </is>
      </c>
      <c r="G106" s="27" t="inlineStr">
        <is>
          <t>Legs</t>
        </is>
      </c>
      <c r="H106" s="27" t="n"/>
      <c r="I106" s="27" t="inlineStr">
        <is>
          <t>-</t>
        </is>
      </c>
      <c r="J106" s="27" t="inlineStr">
        <is>
          <t>Legs day + easy run</t>
        </is>
      </c>
      <c r="K106" s="39" t="inlineStr">
        <is>
          <t>-</t>
        </is>
      </c>
      <c r="L106" s="20" t="n"/>
      <c r="M106" s="20" t="n"/>
      <c r="N106" s="50" t="n"/>
      <c r="O106" s="51">
        <f>IF(AND(ISNUMBER(M123),ISNUMBER(N123),M123&gt;0),(N123/M123)/1440,"")</f>
        <v/>
      </c>
      <c r="P106" s="20" t="n"/>
      <c r="Q106" s="20" t="n"/>
      <c r="R106" s="20" t="n"/>
    </row>
    <row r="107">
      <c r="A107" s="27" t="n">
        <v>14</v>
      </c>
      <c r="B107" s="27" t="inlineStr">
        <is>
          <t>Peak</t>
        </is>
      </c>
      <c r="C107" s="27" t="inlineStr">
        <is>
          <t>Yes</t>
        </is>
      </c>
      <c r="D107" s="28" t="n">
        <v>46314</v>
      </c>
      <c r="E107" s="27" t="inlineStr">
        <is>
          <t>Monday</t>
        </is>
      </c>
      <c r="F107" s="27" t="inlineStr">
        <is>
          <t>Run</t>
        </is>
      </c>
      <c r="G107" s="27" t="inlineStr">
        <is>
          <t>Easy</t>
        </is>
      </c>
      <c r="H107" s="27" t="n">
        <v>5</v>
      </c>
      <c r="I107" s="27" t="inlineStr">
        <is>
          <t>Easy</t>
        </is>
      </c>
      <c r="J107" s="27" t="inlineStr">
        <is>
          <t>Easy/conversational pace</t>
        </is>
      </c>
      <c r="K107" s="39" t="inlineStr">
        <is>
          <t>Easy run</t>
        </is>
      </c>
      <c r="L107" s="20" t="n"/>
      <c r="M107" s="20" t="n"/>
      <c r="N107" s="50" t="n"/>
      <c r="O107" s="51">
        <f>IF(AND(ISNUMBER(M124),ISNUMBER(N124),M124&gt;0),(N124/M124)/1440,"")</f>
        <v/>
      </c>
      <c r="P107" s="20" t="n"/>
      <c r="Q107" s="20" t="n"/>
      <c r="R107" s="20" t="n"/>
    </row>
    <row r="108">
      <c r="A108" s="27" t="n">
        <v>14</v>
      </c>
      <c r="B108" s="27" t="inlineStr">
        <is>
          <t>Peak</t>
        </is>
      </c>
      <c r="C108" s="27" t="inlineStr">
        <is>
          <t>Yes</t>
        </is>
      </c>
      <c r="D108" s="28" t="n">
        <v>46315</v>
      </c>
      <c r="E108" s="27" t="inlineStr">
        <is>
          <t>Tuesday</t>
        </is>
      </c>
      <c r="F108" s="27" t="inlineStr">
        <is>
          <t>Run</t>
        </is>
      </c>
      <c r="G108" s="27" t="inlineStr">
        <is>
          <t>Tempo</t>
        </is>
      </c>
      <c r="H108" s="27" t="n">
        <v>6</v>
      </c>
      <c r="I108" s="27" t="inlineStr">
        <is>
          <t>Tempo</t>
        </is>
      </c>
      <c r="J108" s="27" t="inlineStr">
        <is>
          <t>Deload week - shorten reps/tempo block by ~25%, same structure</t>
        </is>
      </c>
      <c r="K108" s="39" t="inlineStr">
        <is>
          <t>2 x 10-min tempo (deload)</t>
        </is>
      </c>
      <c r="L108" s="20" t="n"/>
      <c r="M108" s="20" t="n"/>
      <c r="N108" s="50" t="n"/>
      <c r="O108" s="51">
        <f>IF(AND(ISNUMBER(M125),ISNUMBER(N125),M125&gt;0),(N125/M125)/1440,"")</f>
        <v/>
      </c>
      <c r="P108" s="20" t="n"/>
      <c r="Q108" s="20" t="n"/>
      <c r="R108" s="20" t="n"/>
    </row>
    <row r="109">
      <c r="A109" s="27" t="n">
        <v>14</v>
      </c>
      <c r="B109" s="27" t="inlineStr">
        <is>
          <t>Peak</t>
        </is>
      </c>
      <c r="C109" s="27" t="inlineStr">
        <is>
          <t>Yes</t>
        </is>
      </c>
      <c r="D109" s="28" t="n">
        <v>46316</v>
      </c>
      <c r="E109" s="27" t="inlineStr">
        <is>
          <t>Wednesday</t>
        </is>
      </c>
      <c r="F109" s="27" t="inlineStr">
        <is>
          <t>Rest</t>
        </is>
      </c>
      <c r="G109" s="27" t="inlineStr">
        <is>
          <t>Full rest</t>
        </is>
      </c>
      <c r="H109" s="27" t="n"/>
      <c r="I109" s="27" t="inlineStr">
        <is>
          <t>-</t>
        </is>
      </c>
      <c r="J109" s="27" t="inlineStr">
        <is>
          <t>Full rest - reduced from 6 to 4 training days/week</t>
        </is>
      </c>
      <c r="K109" s="39" t="inlineStr">
        <is>
          <t>-</t>
        </is>
      </c>
      <c r="L109" s="20" t="n"/>
      <c r="M109" s="20" t="n"/>
      <c r="N109" s="50" t="n"/>
      <c r="O109" s="51">
        <f>IF(AND(ISNUMBER(M126),ISNUMBER(N126),M126&gt;0),(N126/M126)/1440,"")</f>
        <v/>
      </c>
      <c r="P109" s="20" t="n"/>
      <c r="Q109" s="20" t="n"/>
      <c r="R109" s="20" t="n"/>
    </row>
    <row r="110">
      <c r="A110" s="27" t="n">
        <v>14</v>
      </c>
      <c r="B110" s="27" t="inlineStr">
        <is>
          <t>Peak</t>
        </is>
      </c>
      <c r="C110" s="27" t="inlineStr">
        <is>
          <t>Yes</t>
        </is>
      </c>
      <c r="D110" s="28" t="n">
        <v>46317</v>
      </c>
      <c r="E110" s="27" t="inlineStr">
        <is>
          <t>Thursday</t>
        </is>
      </c>
      <c r="F110" s="27" t="inlineStr">
        <is>
          <t>Run</t>
        </is>
      </c>
      <c r="G110" s="27" t="inlineStr">
        <is>
          <t>Medium-long (MP finish)</t>
        </is>
      </c>
      <c r="H110" s="27" t="n">
        <v>7</v>
      </c>
      <c r="I110" s="27" t="inlineStr">
        <is>
          <t>Steady + MP finish</t>
        </is>
      </c>
      <c r="J110" s="27" t="inlineStr">
        <is>
          <t>Medium-long run with the last 2-3km at marathon-pace effort - deload, keep it comfortably easy</t>
        </is>
      </c>
      <c r="K110" s="39" t="inlineStr">
        <is>
          <t>Medium-long + MP finish</t>
        </is>
      </c>
      <c r="L110" s="20" t="n"/>
      <c r="M110" s="20" t="n"/>
      <c r="N110" s="50" t="n"/>
      <c r="O110" s="51">
        <f>IF(AND(ISNUMBER(M128),ISNUMBER(N128),M128&gt;0),(N128/M128)/1440,"")</f>
        <v/>
      </c>
      <c r="P110" s="20" t="n"/>
      <c r="Q110" s="20" t="n"/>
      <c r="R110" s="20" t="n"/>
    </row>
    <row r="111">
      <c r="A111" s="27" t="n">
        <v>14</v>
      </c>
      <c r="B111" s="27" t="inlineStr">
        <is>
          <t>Peak</t>
        </is>
      </c>
      <c r="C111" s="27" t="inlineStr">
        <is>
          <t>Yes</t>
        </is>
      </c>
      <c r="D111" s="28" t="n">
        <v>46318</v>
      </c>
      <c r="E111" s="27" t="inlineStr">
        <is>
          <t>Friday</t>
        </is>
      </c>
      <c r="F111" s="27" t="inlineStr">
        <is>
          <t>Cross-train</t>
        </is>
      </c>
      <c r="G111" s="27" t="inlineStr">
        <is>
          <t>Elliptical + Hip/Knee</t>
        </is>
      </c>
      <c r="H111" s="27" t="n"/>
      <c r="I111" s="27" t="inlineStr">
        <is>
          <t>Easy-moderate</t>
        </is>
      </c>
      <c r="J111" s="27" t="inlineStr">
        <is>
          <t>Low-impact cross-training + hip/knee injury-prevention work (replaces Gym Push day)</t>
        </is>
      </c>
      <c r="K111" s="39" t="inlineStr">
        <is>
          <t>Elliptical + hip/knee circuit</t>
        </is>
      </c>
      <c r="L111" s="20" t="n"/>
      <c r="M111" s="20" t="n"/>
      <c r="N111" s="50" t="n"/>
      <c r="O111" s="51">
        <f>IF(AND(ISNUMBER(M129),ISNUMBER(N129),M129&gt;0),(N129/M129)/1440,"")</f>
        <v/>
      </c>
      <c r="P111" s="20" t="n"/>
      <c r="Q111" s="20" t="n"/>
      <c r="R111" s="20" t="n"/>
    </row>
    <row r="112">
      <c r="A112" s="27" t="n">
        <v>14</v>
      </c>
      <c r="B112" s="27" t="inlineStr">
        <is>
          <t>Peak</t>
        </is>
      </c>
      <c r="C112" s="27" t="inlineStr">
        <is>
          <t>Yes</t>
        </is>
      </c>
      <c r="D112" s="28" t="n">
        <v>46319</v>
      </c>
      <c r="E112" s="27" t="inlineStr">
        <is>
          <t>Saturday</t>
        </is>
      </c>
      <c r="F112" s="27" t="inlineStr">
        <is>
          <t>Run</t>
        </is>
      </c>
      <c r="G112" s="27" t="inlineStr">
        <is>
          <t>Long run</t>
        </is>
      </c>
      <c r="H112" s="27" t="n">
        <v>18</v>
      </c>
      <c r="I112" s="27" t="inlineStr">
        <is>
          <t>Easy + MP segments</t>
        </is>
      </c>
      <c r="J112" s="27" t="inlineStr">
        <is>
          <t>Long run with marathon-pace segments in the back half (see plan notes) - deload week</t>
        </is>
      </c>
      <c r="K112" s="39" t="inlineStr">
        <is>
          <t>Long run + MP segments</t>
        </is>
      </c>
      <c r="L112" s="20" t="n"/>
      <c r="M112" s="20" t="n"/>
      <c r="N112" s="50" t="n"/>
      <c r="O112" s="51">
        <f>IF(AND(ISNUMBER(M131),ISNUMBER(N131),M131&gt;0),(N131/M131)/1440,"")</f>
        <v/>
      </c>
      <c r="P112" s="20" t="n"/>
      <c r="Q112" s="20" t="n"/>
      <c r="R112" s="20" t="n"/>
    </row>
    <row r="113">
      <c r="A113" s="16" t="n">
        <v>15</v>
      </c>
      <c r="B113" s="16" t="inlineStr">
        <is>
          <t>Peak</t>
        </is>
      </c>
      <c r="C113" s="16" t="inlineStr">
        <is>
          <t>No</t>
        </is>
      </c>
      <c r="D113" s="17" t="n">
        <v>46320</v>
      </c>
      <c r="E113" s="16" t="inlineStr">
        <is>
          <t>Sunday</t>
        </is>
      </c>
      <c r="F113" s="16" t="inlineStr">
        <is>
          <t>Rest</t>
        </is>
      </c>
      <c r="G113" s="16" t="inlineStr">
        <is>
          <t>Full rest</t>
        </is>
      </c>
      <c r="H113" s="16" t="n"/>
      <c r="I113" s="16" t="inlineStr">
        <is>
          <t>-</t>
        </is>
      </c>
      <c r="J113" s="16" t="inlineStr">
        <is>
          <t>Recovery after Saturday's long run</t>
        </is>
      </c>
      <c r="K113" s="38" t="inlineStr">
        <is>
          <t>-</t>
        </is>
      </c>
      <c r="L113" s="15" t="n"/>
      <c r="M113" s="15" t="n"/>
      <c r="N113" s="48" t="n"/>
      <c r="O113" s="49">
        <f>IF(AND(ISNUMBER(M132),ISNUMBER(N132),M132&gt;0),(N132/M132)/1440,"")</f>
        <v/>
      </c>
      <c r="P113" s="15" t="n"/>
      <c r="Q113" s="15" t="n"/>
      <c r="R113" s="15" t="n"/>
    </row>
    <row r="114">
      <c r="A114" s="29" t="n">
        <v>15</v>
      </c>
      <c r="B114" s="29" t="inlineStr">
        <is>
          <t>Peak</t>
        </is>
      </c>
      <c r="C114" s="29" t="inlineStr">
        <is>
          <t>No</t>
        </is>
      </c>
      <c r="D114" s="30" t="n">
        <v>46321</v>
      </c>
      <c r="E114" s="29" t="inlineStr">
        <is>
          <t>Monday</t>
        </is>
      </c>
      <c r="F114" s="29" t="inlineStr">
        <is>
          <t>Gym</t>
        </is>
      </c>
      <c r="G114" s="29" t="inlineStr">
        <is>
          <t>Legs</t>
        </is>
      </c>
      <c r="H114" s="29" t="n"/>
      <c r="I114" s="29" t="inlineStr">
        <is>
          <t>-</t>
        </is>
      </c>
      <c r="J114" s="29" t="inlineStr">
        <is>
          <t>Legs day + easy run</t>
        </is>
      </c>
      <c r="K114" s="38" t="inlineStr">
        <is>
          <t>-</t>
        </is>
      </c>
      <c r="L114" s="15" t="n"/>
      <c r="M114" s="15" t="n"/>
      <c r="N114" s="48" t="n"/>
      <c r="O114" s="49">
        <f>IF(AND(ISNUMBER(M133),ISNUMBER(N133),M133&gt;0),(N133/M133)/1440,"")</f>
        <v/>
      </c>
      <c r="P114" s="15" t="n"/>
      <c r="Q114" s="15" t="n"/>
      <c r="R114" s="15" t="n"/>
    </row>
    <row r="115">
      <c r="A115" s="29" t="n">
        <v>15</v>
      </c>
      <c r="B115" s="29" t="inlineStr">
        <is>
          <t>Peak</t>
        </is>
      </c>
      <c r="C115" s="29" t="inlineStr">
        <is>
          <t>No</t>
        </is>
      </c>
      <c r="D115" s="30" t="n">
        <v>46321</v>
      </c>
      <c r="E115" s="29" t="inlineStr">
        <is>
          <t>Monday</t>
        </is>
      </c>
      <c r="F115" s="29" t="inlineStr">
        <is>
          <t>Run</t>
        </is>
      </c>
      <c r="G115" s="29" t="inlineStr">
        <is>
          <t>Easy</t>
        </is>
      </c>
      <c r="H115" s="29" t="n">
        <v>6.5</v>
      </c>
      <c r="I115" s="29" t="inlineStr">
        <is>
          <t>Easy</t>
        </is>
      </c>
      <c r="J115" s="29" t="inlineStr">
        <is>
          <t>Easy/conversational pace</t>
        </is>
      </c>
      <c r="K115" s="38" t="inlineStr">
        <is>
          <t>Easy run</t>
        </is>
      </c>
      <c r="L115" s="15" t="n"/>
      <c r="M115" s="15" t="n"/>
      <c r="N115" s="48" t="n"/>
      <c r="O115" s="49">
        <f>IF(AND(ISNUMBER(M134),ISNUMBER(N134),M134&gt;0),(N134/M134)/1440,"")</f>
        <v/>
      </c>
      <c r="P115" s="15" t="n"/>
      <c r="Q115" s="15" t="n"/>
      <c r="R115" s="15" t="n"/>
    </row>
    <row r="116">
      <c r="A116" s="29" t="n">
        <v>15</v>
      </c>
      <c r="B116" s="29" t="inlineStr">
        <is>
          <t>Peak</t>
        </is>
      </c>
      <c r="C116" s="29" t="inlineStr">
        <is>
          <t>No</t>
        </is>
      </c>
      <c r="D116" s="30" t="n">
        <v>46322</v>
      </c>
      <c r="E116" s="29" t="inlineStr">
        <is>
          <t>Tuesday</t>
        </is>
      </c>
      <c r="F116" s="29" t="inlineStr">
        <is>
          <t>Run</t>
        </is>
      </c>
      <c r="G116" s="29" t="inlineStr">
        <is>
          <t>Intervals</t>
        </is>
      </c>
      <c r="H116" s="29" t="n">
        <v>7.5</v>
      </c>
      <c r="I116" s="29" t="inlineStr">
        <is>
          <t>Intervals</t>
        </is>
      </c>
      <c r="J116" s="29" t="inlineStr">
        <is>
          <t>Repeats (e.g. 400-1000m) with equal-time jog recovery, building reps through the phase</t>
        </is>
      </c>
      <c r="K116" s="38" t="inlineStr">
        <is>
          <t>10 x 2 min</t>
        </is>
      </c>
      <c r="L116" s="15" t="n"/>
      <c r="M116" s="15" t="n"/>
      <c r="N116" s="48" t="n"/>
      <c r="O116" s="49">
        <f>IF(AND(ISNUMBER(M135),ISNUMBER(N135),M135&gt;0),(N135/M135)/1440,"")</f>
        <v/>
      </c>
      <c r="P116" s="15" t="n"/>
      <c r="Q116" s="15" t="n"/>
      <c r="R116" s="15" t="n"/>
    </row>
    <row r="117">
      <c r="A117" s="29" t="n">
        <v>15</v>
      </c>
      <c r="B117" s="29" t="inlineStr">
        <is>
          <t>Peak</t>
        </is>
      </c>
      <c r="C117" s="29" t="inlineStr">
        <is>
          <t>No</t>
        </is>
      </c>
      <c r="D117" s="30" t="n">
        <v>46323</v>
      </c>
      <c r="E117" s="29" t="inlineStr">
        <is>
          <t>Wednesday</t>
        </is>
      </c>
      <c r="F117" s="29" t="inlineStr">
        <is>
          <t>Rest</t>
        </is>
      </c>
      <c r="G117" s="29" t="inlineStr">
        <is>
          <t>Full rest</t>
        </is>
      </c>
      <c r="H117" s="29" t="n"/>
      <c r="I117" s="29" t="inlineStr">
        <is>
          <t>-</t>
        </is>
      </c>
      <c r="J117" s="29" t="inlineStr">
        <is>
          <t>Full rest - reduced from 6 to 4 training days/week</t>
        </is>
      </c>
      <c r="K117" s="38" t="inlineStr">
        <is>
          <t>-</t>
        </is>
      </c>
      <c r="L117" s="15" t="n"/>
      <c r="M117" s="15" t="n"/>
      <c r="N117" s="48" t="n"/>
      <c r="O117" s="49">
        <f>IF(AND(ISNUMBER(M136),ISNUMBER(N136),M136&gt;0),(N136/M136)/1440,"")</f>
        <v/>
      </c>
      <c r="P117" s="15" t="n"/>
      <c r="Q117" s="15" t="n"/>
      <c r="R117" s="15" t="n"/>
    </row>
    <row r="118">
      <c r="A118" s="29" t="n">
        <v>15</v>
      </c>
      <c r="B118" s="29" t="inlineStr">
        <is>
          <t>Peak</t>
        </is>
      </c>
      <c r="C118" s="29" t="inlineStr">
        <is>
          <t>No</t>
        </is>
      </c>
      <c r="D118" s="30" t="n">
        <v>46324</v>
      </c>
      <c r="E118" s="29" t="inlineStr">
        <is>
          <t>Thursday</t>
        </is>
      </c>
      <c r="F118" s="29" t="inlineStr">
        <is>
          <t>Run</t>
        </is>
      </c>
      <c r="G118" s="29" t="inlineStr">
        <is>
          <t>Medium-long (MP finish)</t>
        </is>
      </c>
      <c r="H118" s="29" t="n">
        <v>11</v>
      </c>
      <c r="I118" s="29" t="inlineStr">
        <is>
          <t>Steady + MP finish</t>
        </is>
      </c>
      <c r="J118" s="29" t="inlineStr">
        <is>
          <t>Medium-long run with the last 2-3km at marathon-pace effort</t>
        </is>
      </c>
      <c r="K118" s="38" t="inlineStr">
        <is>
          <t>Medium-long + MP finish</t>
        </is>
      </c>
      <c r="L118" s="15" t="n"/>
      <c r="M118" s="15" t="n"/>
      <c r="N118" s="48" t="n"/>
      <c r="O118" s="49">
        <f>IF(AND(ISNUMBER(M138),ISNUMBER(N138),M138&gt;0),(N138/M138)/1440,"")</f>
        <v/>
      </c>
      <c r="P118" s="15" t="n"/>
      <c r="Q118" s="15" t="n"/>
      <c r="R118" s="15" t="n"/>
    </row>
    <row r="119">
      <c r="A119" s="29" t="n">
        <v>15</v>
      </c>
      <c r="B119" s="29" t="inlineStr">
        <is>
          <t>Peak</t>
        </is>
      </c>
      <c r="C119" s="29" t="inlineStr">
        <is>
          <t>No</t>
        </is>
      </c>
      <c r="D119" s="30" t="n">
        <v>46325</v>
      </c>
      <c r="E119" s="29" t="inlineStr">
        <is>
          <t>Friday</t>
        </is>
      </c>
      <c r="F119" s="29" t="inlineStr">
        <is>
          <t>Cross-train</t>
        </is>
      </c>
      <c r="G119" s="29" t="inlineStr">
        <is>
          <t>Elliptical + Hip/Knee</t>
        </is>
      </c>
      <c r="H119" s="29" t="n"/>
      <c r="I119" s="29" t="inlineStr">
        <is>
          <t>Easy-moderate</t>
        </is>
      </c>
      <c r="J119" s="29" t="inlineStr">
        <is>
          <t>Low-impact cross-training + hip/knee injury-prevention work (replaces Gym Push day)</t>
        </is>
      </c>
      <c r="K119" s="38" t="inlineStr">
        <is>
          <t>Elliptical + hip/knee circuit</t>
        </is>
      </c>
      <c r="L119" s="15" t="n"/>
      <c r="M119" s="15" t="n"/>
      <c r="N119" s="48" t="n"/>
      <c r="O119" s="49">
        <f>IF(AND(ISNUMBER(M139),ISNUMBER(N139),M139&gt;0),(N139/M139)/1440,"")</f>
        <v/>
      </c>
      <c r="P119" s="15" t="n"/>
      <c r="Q119" s="15" t="n"/>
      <c r="R119" s="15" t="n"/>
    </row>
    <row r="120">
      <c r="A120" s="29" t="n">
        <v>15</v>
      </c>
      <c r="B120" s="29" t="inlineStr">
        <is>
          <t>Peak</t>
        </is>
      </c>
      <c r="C120" s="29" t="inlineStr">
        <is>
          <t>No</t>
        </is>
      </c>
      <c r="D120" s="30" t="n">
        <v>46326</v>
      </c>
      <c r="E120" s="29" t="inlineStr">
        <is>
          <t>Saturday</t>
        </is>
      </c>
      <c r="F120" s="29" t="inlineStr">
        <is>
          <t>Run</t>
        </is>
      </c>
      <c r="G120" s="29" t="inlineStr">
        <is>
          <t>Long run</t>
        </is>
      </c>
      <c r="H120" s="29" t="n">
        <v>24</v>
      </c>
      <c r="I120" s="29" t="inlineStr">
        <is>
          <t>Easy + MP segments</t>
        </is>
      </c>
      <c r="J120" s="29" t="inlineStr">
        <is>
          <t>Long run with marathon-pace segments in the back half (see plan notes)</t>
        </is>
      </c>
      <c r="K120" s="38" t="inlineStr">
        <is>
          <t>Long run + MP segments</t>
        </is>
      </c>
      <c r="L120" s="15" t="n"/>
      <c r="M120" s="15" t="n"/>
      <c r="N120" s="48" t="n"/>
      <c r="O120" s="49">
        <f>IF(AND(ISNUMBER(M141),ISNUMBER(N141),M141&gt;0),(N141/M141)/1440,"")</f>
        <v/>
      </c>
      <c r="P120" s="15" t="n"/>
      <c r="Q120" s="15" t="n"/>
      <c r="R120" s="15" t="n"/>
    </row>
    <row r="121">
      <c r="A121" s="16" t="n">
        <v>16</v>
      </c>
      <c r="B121" s="16" t="inlineStr">
        <is>
          <t>Peak</t>
        </is>
      </c>
      <c r="C121" s="16" t="inlineStr">
        <is>
          <t>No</t>
        </is>
      </c>
      <c r="D121" s="17" t="n">
        <v>46327</v>
      </c>
      <c r="E121" s="16" t="inlineStr">
        <is>
          <t>Sunday</t>
        </is>
      </c>
      <c r="F121" s="16" t="inlineStr">
        <is>
          <t>Rest</t>
        </is>
      </c>
      <c r="G121" s="16" t="inlineStr">
        <is>
          <t>Full rest</t>
        </is>
      </c>
      <c r="H121" s="16" t="n"/>
      <c r="I121" s="16" t="inlineStr">
        <is>
          <t>-</t>
        </is>
      </c>
      <c r="J121" s="16" t="inlineStr">
        <is>
          <t>Recovery after Saturday's long run</t>
        </is>
      </c>
      <c r="K121" s="38" t="inlineStr">
        <is>
          <t>-</t>
        </is>
      </c>
      <c r="L121" s="15" t="n"/>
      <c r="M121" s="15" t="n"/>
      <c r="N121" s="48" t="n"/>
      <c r="O121" s="49">
        <f>IF(AND(ISNUMBER(M142),ISNUMBER(N142),M142&gt;0),(N142/M142)/1440,"")</f>
        <v/>
      </c>
      <c r="P121" s="15" t="n"/>
      <c r="Q121" s="15" t="n"/>
      <c r="R121" s="15" t="n"/>
    </row>
    <row r="122">
      <c r="A122" s="29" t="n">
        <v>16</v>
      </c>
      <c r="B122" s="29" t="inlineStr">
        <is>
          <t>Peak</t>
        </is>
      </c>
      <c r="C122" s="29" t="inlineStr">
        <is>
          <t>No</t>
        </is>
      </c>
      <c r="D122" s="30" t="n">
        <v>46328</v>
      </c>
      <c r="E122" s="29" t="inlineStr">
        <is>
          <t>Monday</t>
        </is>
      </c>
      <c r="F122" s="29" t="inlineStr">
        <is>
          <t>Gym</t>
        </is>
      </c>
      <c r="G122" s="29" t="inlineStr">
        <is>
          <t>Legs</t>
        </is>
      </c>
      <c r="H122" s="29" t="n"/>
      <c r="I122" s="29" t="inlineStr">
        <is>
          <t>-</t>
        </is>
      </c>
      <c r="J122" s="29" t="inlineStr">
        <is>
          <t>Legs day + easy run</t>
        </is>
      </c>
      <c r="K122" s="38" t="inlineStr">
        <is>
          <t>-</t>
        </is>
      </c>
      <c r="L122" s="15" t="n"/>
      <c r="M122" s="15" t="n"/>
      <c r="N122" s="48" t="n"/>
      <c r="O122" s="49">
        <f>IF(AND(ISNUMBER(M143),ISNUMBER(N143),M143&gt;0),(N143/M143)/1440,"")</f>
        <v/>
      </c>
      <c r="P122" s="15" t="n"/>
      <c r="Q122" s="15" t="n"/>
      <c r="R122" s="15" t="n"/>
    </row>
    <row r="123">
      <c r="A123" s="29" t="n">
        <v>16</v>
      </c>
      <c r="B123" s="29" t="inlineStr">
        <is>
          <t>Peak</t>
        </is>
      </c>
      <c r="C123" s="29" t="inlineStr">
        <is>
          <t>No</t>
        </is>
      </c>
      <c r="D123" s="30" t="n">
        <v>46328</v>
      </c>
      <c r="E123" s="29" t="inlineStr">
        <is>
          <t>Monday</t>
        </is>
      </c>
      <c r="F123" s="29" t="inlineStr">
        <is>
          <t>Run</t>
        </is>
      </c>
      <c r="G123" s="29" t="inlineStr">
        <is>
          <t>Easy</t>
        </is>
      </c>
      <c r="H123" s="29" t="n">
        <v>6.5</v>
      </c>
      <c r="I123" s="29" t="inlineStr">
        <is>
          <t>Easy</t>
        </is>
      </c>
      <c r="J123" s="29" t="inlineStr">
        <is>
          <t>Easy/conversational pace</t>
        </is>
      </c>
      <c r="K123" s="38" t="inlineStr">
        <is>
          <t>Easy run</t>
        </is>
      </c>
      <c r="L123" s="15" t="n"/>
      <c r="M123" s="15" t="n"/>
      <c r="N123" s="48" t="n"/>
      <c r="O123" s="49">
        <f>IF(AND(ISNUMBER(M144),ISNUMBER(N144),M144&gt;0),(N144/M144)/1440,"")</f>
        <v/>
      </c>
      <c r="P123" s="15" t="n"/>
      <c r="Q123" s="15" t="n"/>
      <c r="R123" s="15" t="n"/>
    </row>
    <row r="124">
      <c r="A124" s="29" t="n">
        <v>16</v>
      </c>
      <c r="B124" s="29" t="inlineStr">
        <is>
          <t>Peak</t>
        </is>
      </c>
      <c r="C124" s="29" t="inlineStr">
        <is>
          <t>No</t>
        </is>
      </c>
      <c r="D124" s="30" t="n">
        <v>46329</v>
      </c>
      <c r="E124" s="29" t="inlineStr">
        <is>
          <t>Tuesday</t>
        </is>
      </c>
      <c r="F124" s="29" t="inlineStr">
        <is>
          <t>Run</t>
        </is>
      </c>
      <c r="G124" s="29" t="inlineStr">
        <is>
          <t>Tempo</t>
        </is>
      </c>
      <c r="H124" s="29" t="n">
        <v>7.5</v>
      </c>
      <c r="I124" s="29" t="inlineStr">
        <is>
          <t>Tempo</t>
        </is>
      </c>
      <c r="J124" s="29" t="inlineStr">
        <is>
          <t>Continuous tempo block within the session, building duration through the phase</t>
        </is>
      </c>
      <c r="K124" s="38" t="inlineStr">
        <is>
          <t>3 x 8-min cruise</t>
        </is>
      </c>
      <c r="L124" s="15" t="n"/>
      <c r="M124" s="15" t="n"/>
      <c r="N124" s="48" t="n"/>
      <c r="O124" s="49">
        <f>IF(AND(ISNUMBER(M145),ISNUMBER(N145),M145&gt;0),(N145/M145)/1440,"")</f>
        <v/>
      </c>
      <c r="P124" s="15" t="n"/>
      <c r="Q124" s="15" t="n"/>
      <c r="R124" s="15" t="n"/>
    </row>
    <row r="125">
      <c r="A125" s="29" t="n">
        <v>16</v>
      </c>
      <c r="B125" s="29" t="inlineStr">
        <is>
          <t>Peak</t>
        </is>
      </c>
      <c r="C125" s="29" t="inlineStr">
        <is>
          <t>No</t>
        </is>
      </c>
      <c r="D125" s="30" t="n">
        <v>46330</v>
      </c>
      <c r="E125" s="29" t="inlineStr">
        <is>
          <t>Wednesday</t>
        </is>
      </c>
      <c r="F125" s="29" t="inlineStr">
        <is>
          <t>Rest</t>
        </is>
      </c>
      <c r="G125" s="29" t="inlineStr">
        <is>
          <t>Full rest</t>
        </is>
      </c>
      <c r="H125" s="29" t="n"/>
      <c r="I125" s="29" t="inlineStr">
        <is>
          <t>-</t>
        </is>
      </c>
      <c r="J125" s="29" t="inlineStr">
        <is>
          <t>Full rest - reduced from 6 to 4 training days/week</t>
        </is>
      </c>
      <c r="K125" s="38" t="inlineStr">
        <is>
          <t>-</t>
        </is>
      </c>
      <c r="L125" s="15" t="n"/>
      <c r="M125" s="15" t="n"/>
      <c r="N125" s="48" t="n"/>
      <c r="O125" s="49">
        <f>IF(AND(ISNUMBER(M146),ISNUMBER(N146),M146&gt;0),(N146/M146)/1440,"")</f>
        <v/>
      </c>
      <c r="P125" s="15" t="n"/>
      <c r="Q125" s="15" t="n"/>
      <c r="R125" s="15" t="n"/>
    </row>
    <row r="126">
      <c r="A126" s="29" t="n">
        <v>16</v>
      </c>
      <c r="B126" s="29" t="inlineStr">
        <is>
          <t>Peak</t>
        </is>
      </c>
      <c r="C126" s="29" t="inlineStr">
        <is>
          <t>No</t>
        </is>
      </c>
      <c r="D126" s="30" t="n">
        <v>46331</v>
      </c>
      <c r="E126" s="29" t="inlineStr">
        <is>
          <t>Thursday</t>
        </is>
      </c>
      <c r="F126" s="29" t="inlineStr">
        <is>
          <t>Run</t>
        </is>
      </c>
      <c r="G126" s="29" t="inlineStr">
        <is>
          <t>Medium-long (MP finish)</t>
        </is>
      </c>
      <c r="H126" s="29" t="n">
        <v>12</v>
      </c>
      <c r="I126" s="29" t="inlineStr">
        <is>
          <t>Steady + MP finish</t>
        </is>
      </c>
      <c r="J126" s="29" t="inlineStr">
        <is>
          <t>Medium-long run with the last 2-3km at marathon-pace effort</t>
        </is>
      </c>
      <c r="K126" s="38" t="inlineStr">
        <is>
          <t>Medium-long + MP finish</t>
        </is>
      </c>
      <c r="L126" s="15" t="n"/>
      <c r="M126" s="15" t="n"/>
      <c r="N126" s="48" t="n"/>
      <c r="O126" s="49">
        <f>IF(AND(ISNUMBER(M148),ISNUMBER(N148),M148&gt;0),(N148/M148)/1440,"")</f>
        <v/>
      </c>
      <c r="P126" s="15" t="n"/>
      <c r="Q126" s="15" t="n"/>
      <c r="R126" s="15" t="n"/>
    </row>
    <row r="127">
      <c r="A127" s="29" t="n">
        <v>16</v>
      </c>
      <c r="B127" s="29" t="inlineStr">
        <is>
          <t>Peak</t>
        </is>
      </c>
      <c r="C127" s="29" t="inlineStr">
        <is>
          <t>No</t>
        </is>
      </c>
      <c r="D127" s="30" t="n">
        <v>46332</v>
      </c>
      <c r="E127" s="29" t="inlineStr">
        <is>
          <t>Friday</t>
        </is>
      </c>
      <c r="F127" s="29" t="inlineStr">
        <is>
          <t>Cross-train</t>
        </is>
      </c>
      <c r="G127" s="29" t="inlineStr">
        <is>
          <t>Elliptical + Hip/Knee</t>
        </is>
      </c>
      <c r="H127" s="29" t="n"/>
      <c r="I127" s="29" t="inlineStr">
        <is>
          <t>Easy-moderate</t>
        </is>
      </c>
      <c r="J127" s="29" t="inlineStr">
        <is>
          <t>Low-impact cross-training + hip/knee injury-prevention work (replaces Gym Push day)</t>
        </is>
      </c>
      <c r="K127" s="38" t="inlineStr">
        <is>
          <t>Elliptical + hip/knee circuit</t>
        </is>
      </c>
      <c r="L127" s="15" t="n"/>
      <c r="M127" s="15" t="n"/>
      <c r="N127" s="48" t="n"/>
      <c r="O127" s="49">
        <f>IF(AND(ISNUMBER(M149),ISNUMBER(N149),M149&gt;0),(N149/M149)/1440,"")</f>
        <v/>
      </c>
      <c r="P127" s="15" t="n"/>
      <c r="Q127" s="15" t="n"/>
      <c r="R127" s="15" t="n"/>
    </row>
    <row r="128">
      <c r="A128" s="29" t="n">
        <v>16</v>
      </c>
      <c r="B128" s="29" t="inlineStr">
        <is>
          <t>Peak</t>
        </is>
      </c>
      <c r="C128" s="29" t="inlineStr">
        <is>
          <t>No</t>
        </is>
      </c>
      <c r="D128" s="30" t="n">
        <v>46333</v>
      </c>
      <c r="E128" s="29" t="inlineStr">
        <is>
          <t>Saturday</t>
        </is>
      </c>
      <c r="F128" s="29" t="inlineStr">
        <is>
          <t>Run</t>
        </is>
      </c>
      <c r="G128" s="29" t="inlineStr">
        <is>
          <t>Long run</t>
        </is>
      </c>
      <c r="H128" s="29" t="n">
        <v>27</v>
      </c>
      <c r="I128" s="29" t="inlineStr">
        <is>
          <t>Easy + MP segments</t>
        </is>
      </c>
      <c r="J128" s="29" t="inlineStr">
        <is>
          <t>Long run with marathon-pace segments in the back half (see plan notes)</t>
        </is>
      </c>
      <c r="K128" s="38" t="inlineStr">
        <is>
          <t>Long run + MP segments</t>
        </is>
      </c>
      <c r="L128" s="15" t="n"/>
      <c r="M128" s="15" t="n"/>
      <c r="N128" s="48" t="n"/>
      <c r="O128" s="49">
        <f>IF(AND(ISNUMBER(M151),ISNUMBER(N151),M151&gt;0),(N151/M151)/1440,"")</f>
        <v/>
      </c>
      <c r="P128" s="15" t="n"/>
      <c r="Q128" s="15" t="n"/>
      <c r="R128" s="15" t="n"/>
    </row>
    <row r="129">
      <c r="A129" s="16" t="n">
        <v>17</v>
      </c>
      <c r="B129" s="16" t="inlineStr">
        <is>
          <t>Peak</t>
        </is>
      </c>
      <c r="C129" s="16" t="inlineStr">
        <is>
          <t>No</t>
        </is>
      </c>
      <c r="D129" s="17" t="n">
        <v>46334</v>
      </c>
      <c r="E129" s="16" t="inlineStr">
        <is>
          <t>Sunday</t>
        </is>
      </c>
      <c r="F129" s="16" t="inlineStr">
        <is>
          <t>Rest</t>
        </is>
      </c>
      <c r="G129" s="16" t="inlineStr">
        <is>
          <t>Full rest</t>
        </is>
      </c>
      <c r="H129" s="16" t="n"/>
      <c r="I129" s="16" t="inlineStr">
        <is>
          <t>-</t>
        </is>
      </c>
      <c r="J129" s="16" t="inlineStr">
        <is>
          <t>Recovery after Saturday's long run</t>
        </is>
      </c>
      <c r="K129" s="38" t="inlineStr">
        <is>
          <t>-</t>
        </is>
      </c>
      <c r="L129" s="15" t="n"/>
      <c r="M129" s="15" t="n"/>
      <c r="N129" s="48" t="n"/>
      <c r="O129" s="49">
        <f>IF(AND(ISNUMBER(M152),ISNUMBER(N152),M152&gt;0),(N152/M152)/1440,"")</f>
        <v/>
      </c>
      <c r="P129" s="15" t="n"/>
      <c r="Q129" s="15" t="n"/>
      <c r="R129" s="15" t="n"/>
    </row>
    <row r="130">
      <c r="A130" s="29" t="n">
        <v>17</v>
      </c>
      <c r="B130" s="29" t="inlineStr">
        <is>
          <t>Peak</t>
        </is>
      </c>
      <c r="C130" s="29" t="inlineStr">
        <is>
          <t>No</t>
        </is>
      </c>
      <c r="D130" s="30" t="n">
        <v>46335</v>
      </c>
      <c r="E130" s="29" t="inlineStr">
        <is>
          <t>Monday</t>
        </is>
      </c>
      <c r="F130" s="29" t="inlineStr">
        <is>
          <t>Gym</t>
        </is>
      </c>
      <c r="G130" s="29" t="inlineStr">
        <is>
          <t>Legs</t>
        </is>
      </c>
      <c r="H130" s="29" t="n"/>
      <c r="I130" s="29" t="inlineStr">
        <is>
          <t>-</t>
        </is>
      </c>
      <c r="J130" s="29" t="inlineStr">
        <is>
          <t>Legs day + easy run</t>
        </is>
      </c>
      <c r="K130" s="38" t="inlineStr">
        <is>
          <t>-</t>
        </is>
      </c>
      <c r="L130" s="15" t="n"/>
      <c r="M130" s="15" t="n"/>
      <c r="N130" s="48" t="n"/>
      <c r="O130" s="49">
        <f>IF(AND(ISNUMBER(M153),ISNUMBER(N153),M153&gt;0),(N153/M153)/1440,"")</f>
        <v/>
      </c>
      <c r="P130" s="15" t="n"/>
      <c r="Q130" s="15" t="n"/>
      <c r="R130" s="15" t="n"/>
    </row>
    <row r="131">
      <c r="A131" s="29" t="n">
        <v>17</v>
      </c>
      <c r="B131" s="29" t="inlineStr">
        <is>
          <t>Peak</t>
        </is>
      </c>
      <c r="C131" s="29" t="inlineStr">
        <is>
          <t>No</t>
        </is>
      </c>
      <c r="D131" s="30" t="n">
        <v>46335</v>
      </c>
      <c r="E131" s="29" t="inlineStr">
        <is>
          <t>Monday</t>
        </is>
      </c>
      <c r="F131" s="29" t="inlineStr">
        <is>
          <t>Run</t>
        </is>
      </c>
      <c r="G131" s="29" t="inlineStr">
        <is>
          <t>Easy</t>
        </is>
      </c>
      <c r="H131" s="29" t="n">
        <v>6.5</v>
      </c>
      <c r="I131" s="29" t="inlineStr">
        <is>
          <t>Easy</t>
        </is>
      </c>
      <c r="J131" s="29" t="inlineStr">
        <is>
          <t>Easy/conversational pace</t>
        </is>
      </c>
      <c r="K131" s="38" t="inlineStr">
        <is>
          <t>Easy run</t>
        </is>
      </c>
      <c r="L131" s="15" t="n"/>
      <c r="M131" s="15" t="n"/>
      <c r="N131" s="48" t="n"/>
      <c r="O131" s="49">
        <f>IF(AND(ISNUMBER(M154),ISNUMBER(N154),M154&gt;0),(N154/M154)/1440,"")</f>
        <v/>
      </c>
      <c r="P131" s="15" t="n"/>
      <c r="Q131" s="15" t="n"/>
      <c r="R131" s="15" t="n"/>
    </row>
    <row r="132">
      <c r="A132" s="29" t="n">
        <v>17</v>
      </c>
      <c r="B132" s="29" t="inlineStr">
        <is>
          <t>Peak</t>
        </is>
      </c>
      <c r="C132" s="29" t="inlineStr">
        <is>
          <t>No</t>
        </is>
      </c>
      <c r="D132" s="30" t="n">
        <v>46336</v>
      </c>
      <c r="E132" s="29" t="inlineStr">
        <is>
          <t>Tuesday</t>
        </is>
      </c>
      <c r="F132" s="29" t="inlineStr">
        <is>
          <t>Run</t>
        </is>
      </c>
      <c r="G132" s="29" t="inlineStr">
        <is>
          <t>Intervals</t>
        </is>
      </c>
      <c r="H132" s="29" t="n">
        <v>7.5</v>
      </c>
      <c r="I132" s="29" t="inlineStr">
        <is>
          <t>Intervals</t>
        </is>
      </c>
      <c r="J132" s="29" t="inlineStr">
        <is>
          <t>Repeats (e.g. 400-1000m) with equal-time jog recovery, building reps through the phase</t>
        </is>
      </c>
      <c r="K132" s="38" t="inlineStr">
        <is>
          <t>5 x 1 km</t>
        </is>
      </c>
      <c r="L132" s="15" t="n"/>
      <c r="M132" s="15" t="n"/>
      <c r="N132" s="48" t="n"/>
      <c r="O132" s="49">
        <f>IF(AND(ISNUMBER(M155),ISNUMBER(N155),M155&gt;0),(N155/M155)/1440,"")</f>
        <v/>
      </c>
      <c r="P132" s="15" t="n"/>
      <c r="Q132" s="15" t="n"/>
      <c r="R132" s="15" t="n"/>
    </row>
    <row r="133">
      <c r="A133" s="29" t="n">
        <v>17</v>
      </c>
      <c r="B133" s="29" t="inlineStr">
        <is>
          <t>Peak</t>
        </is>
      </c>
      <c r="C133" s="29" t="inlineStr">
        <is>
          <t>No</t>
        </is>
      </c>
      <c r="D133" s="30" t="n">
        <v>46337</v>
      </c>
      <c r="E133" s="29" t="inlineStr">
        <is>
          <t>Wednesday</t>
        </is>
      </c>
      <c r="F133" s="29" t="inlineStr">
        <is>
          <t>Rest</t>
        </is>
      </c>
      <c r="G133" s="29" t="inlineStr">
        <is>
          <t>Full rest</t>
        </is>
      </c>
      <c r="H133" s="29" t="n"/>
      <c r="I133" s="29" t="inlineStr">
        <is>
          <t>-</t>
        </is>
      </c>
      <c r="J133" s="29" t="inlineStr">
        <is>
          <t>Full rest - reduced from 6 to 4 training days/week</t>
        </is>
      </c>
      <c r="K133" s="38" t="inlineStr">
        <is>
          <t>-</t>
        </is>
      </c>
      <c r="L133" s="15" t="n"/>
      <c r="M133" s="15" t="n"/>
      <c r="N133" s="48" t="n"/>
      <c r="O133" s="49">
        <f>IF(AND(ISNUMBER(M156),ISNUMBER(N156),M156&gt;0),(N156/M156)/1440,"")</f>
        <v/>
      </c>
      <c r="P133" s="15" t="n"/>
      <c r="Q133" s="15" t="n"/>
      <c r="R133" s="15" t="n"/>
    </row>
    <row r="134">
      <c r="A134" s="29" t="n">
        <v>17</v>
      </c>
      <c r="B134" s="29" t="inlineStr">
        <is>
          <t>Peak</t>
        </is>
      </c>
      <c r="C134" s="29" t="inlineStr">
        <is>
          <t>No</t>
        </is>
      </c>
      <c r="D134" s="30" t="n">
        <v>46338</v>
      </c>
      <c r="E134" s="29" t="inlineStr">
        <is>
          <t>Thursday</t>
        </is>
      </c>
      <c r="F134" s="29" t="inlineStr">
        <is>
          <t>Run</t>
        </is>
      </c>
      <c r="G134" s="29" t="inlineStr">
        <is>
          <t>Medium-long (MP finish)</t>
        </is>
      </c>
      <c r="H134" s="29" t="n">
        <v>13</v>
      </c>
      <c r="I134" s="29" t="inlineStr">
        <is>
          <t>Steady + MP finish</t>
        </is>
      </c>
      <c r="J134" s="29" t="inlineStr">
        <is>
          <t>Medium-long run with the last 2-3km at marathon-pace effort</t>
        </is>
      </c>
      <c r="K134" s="38" t="inlineStr">
        <is>
          <t>Medium-long + MP finish</t>
        </is>
      </c>
      <c r="L134" s="15" t="n"/>
      <c r="M134" s="15" t="n"/>
      <c r="N134" s="48" t="n"/>
      <c r="O134" s="49">
        <f>IF(AND(ISNUMBER(M158),ISNUMBER(N158),M158&gt;0),(N158/M158)/1440,"")</f>
        <v/>
      </c>
      <c r="P134" s="15" t="n"/>
      <c r="Q134" s="15" t="n"/>
      <c r="R134" s="15" t="n"/>
    </row>
    <row r="135">
      <c r="A135" s="29" t="n">
        <v>17</v>
      </c>
      <c r="B135" s="29" t="inlineStr">
        <is>
          <t>Peak</t>
        </is>
      </c>
      <c r="C135" s="29" t="inlineStr">
        <is>
          <t>No</t>
        </is>
      </c>
      <c r="D135" s="30" t="n">
        <v>46339</v>
      </c>
      <c r="E135" s="29" t="inlineStr">
        <is>
          <t>Friday</t>
        </is>
      </c>
      <c r="F135" s="29" t="inlineStr">
        <is>
          <t>Cross-train</t>
        </is>
      </c>
      <c r="G135" s="29" t="inlineStr">
        <is>
          <t>Elliptical + Hip/Knee</t>
        </is>
      </c>
      <c r="H135" s="29" t="n"/>
      <c r="I135" s="29" t="inlineStr">
        <is>
          <t>Easy-moderate</t>
        </is>
      </c>
      <c r="J135" s="29" t="inlineStr">
        <is>
          <t>Low-impact cross-training + hip/knee injury-prevention work (replaces Gym Push day)</t>
        </is>
      </c>
      <c r="K135" s="38" t="inlineStr">
        <is>
          <t>Elliptical + hip/knee circuit</t>
        </is>
      </c>
      <c r="L135" s="15" t="n"/>
      <c r="M135" s="15" t="n"/>
      <c r="N135" s="48" t="n"/>
      <c r="O135" s="49">
        <f>IF(AND(ISNUMBER(M159),ISNUMBER(N159),M159&gt;0),(N159/M159)/1440,"")</f>
        <v/>
      </c>
      <c r="P135" s="15" t="n"/>
      <c r="Q135" s="15" t="n"/>
      <c r="R135" s="15" t="n"/>
    </row>
    <row r="136">
      <c r="A136" s="29" t="n">
        <v>17</v>
      </c>
      <c r="B136" s="29" t="inlineStr">
        <is>
          <t>Peak</t>
        </is>
      </c>
      <c r="C136" s="29" t="inlineStr">
        <is>
          <t>No</t>
        </is>
      </c>
      <c r="D136" s="30" t="n">
        <v>46340</v>
      </c>
      <c r="E136" s="29" t="inlineStr">
        <is>
          <t>Saturday</t>
        </is>
      </c>
      <c r="F136" s="29" t="inlineStr">
        <is>
          <t>Run</t>
        </is>
      </c>
      <c r="G136" s="29" t="inlineStr">
        <is>
          <t>Long run</t>
        </is>
      </c>
      <c r="H136" s="29" t="n">
        <v>30</v>
      </c>
      <c r="I136" s="29" t="inlineStr">
        <is>
          <t>Easy + MP segments</t>
        </is>
      </c>
      <c r="J136" s="29" t="inlineStr">
        <is>
          <t>Long run with marathon-pace segments in the back half (see plan notes)</t>
        </is>
      </c>
      <c r="K136" s="38" t="inlineStr">
        <is>
          <t>Long run + MP segments</t>
        </is>
      </c>
      <c r="L136" s="15" t="n"/>
      <c r="M136" s="15" t="n"/>
      <c r="N136" s="48" t="n"/>
      <c r="O136" s="49">
        <f>IF(AND(ISNUMBER(M161),ISNUMBER(N161),M161&gt;0),(N161/M161)/1440,"")</f>
        <v/>
      </c>
      <c r="P136" s="15" t="n"/>
      <c r="Q136" s="15" t="n"/>
      <c r="R136" s="15" t="n"/>
    </row>
    <row r="137">
      <c r="A137" s="16" t="n">
        <v>18</v>
      </c>
      <c r="B137" s="16" t="inlineStr">
        <is>
          <t>Peak</t>
        </is>
      </c>
      <c r="C137" s="16" t="inlineStr">
        <is>
          <t>No</t>
        </is>
      </c>
      <c r="D137" s="17" t="n">
        <v>46341</v>
      </c>
      <c r="E137" s="16" t="inlineStr">
        <is>
          <t>Sunday</t>
        </is>
      </c>
      <c r="F137" s="16" t="inlineStr">
        <is>
          <t>Rest</t>
        </is>
      </c>
      <c r="G137" s="16" t="inlineStr">
        <is>
          <t>Full rest</t>
        </is>
      </c>
      <c r="H137" s="16" t="n"/>
      <c r="I137" s="16" t="inlineStr">
        <is>
          <t>-</t>
        </is>
      </c>
      <c r="J137" s="16" t="inlineStr">
        <is>
          <t>Recovery after Saturday's long run</t>
        </is>
      </c>
      <c r="K137" s="38" t="inlineStr">
        <is>
          <t>-</t>
        </is>
      </c>
      <c r="L137" s="15" t="n"/>
      <c r="M137" s="15" t="n"/>
      <c r="N137" s="48" t="n"/>
      <c r="O137" s="49">
        <f>IF(AND(ISNUMBER(M162),ISNUMBER(N162),M162&gt;0),(N162/M162)/1440,"")</f>
        <v/>
      </c>
      <c r="P137" s="15" t="n"/>
      <c r="Q137" s="15" t="n"/>
      <c r="R137" s="15" t="n"/>
    </row>
    <row r="138">
      <c r="A138" s="29" t="n">
        <v>18</v>
      </c>
      <c r="B138" s="29" t="inlineStr">
        <is>
          <t>Peak</t>
        </is>
      </c>
      <c r="C138" s="29" t="inlineStr">
        <is>
          <t>No</t>
        </is>
      </c>
      <c r="D138" s="30" t="n">
        <v>46342</v>
      </c>
      <c r="E138" s="29" t="inlineStr">
        <is>
          <t>Monday</t>
        </is>
      </c>
      <c r="F138" s="29" t="inlineStr">
        <is>
          <t>Gym</t>
        </is>
      </c>
      <c r="G138" s="29" t="inlineStr">
        <is>
          <t>Legs</t>
        </is>
      </c>
      <c r="H138" s="29" t="n"/>
      <c r="I138" s="29" t="inlineStr">
        <is>
          <t>-</t>
        </is>
      </c>
      <c r="J138" s="29" t="inlineStr">
        <is>
          <t>Legs day + easy run</t>
        </is>
      </c>
      <c r="K138" s="38" t="inlineStr">
        <is>
          <t>-</t>
        </is>
      </c>
      <c r="L138" s="15" t="n"/>
      <c r="M138" s="15" t="n"/>
      <c r="N138" s="48" t="n"/>
      <c r="O138" s="49">
        <f>IF(AND(ISNUMBER(M163),ISNUMBER(N163),M163&gt;0),(N163/M163)/1440,"")</f>
        <v/>
      </c>
      <c r="P138" s="15" t="n"/>
      <c r="Q138" s="15" t="n"/>
      <c r="R138" s="15" t="n"/>
    </row>
    <row r="139">
      <c r="A139" s="29" t="n">
        <v>18</v>
      </c>
      <c r="B139" s="29" t="inlineStr">
        <is>
          <t>Peak</t>
        </is>
      </c>
      <c r="C139" s="29" t="inlineStr">
        <is>
          <t>No</t>
        </is>
      </c>
      <c r="D139" s="30" t="n">
        <v>46342</v>
      </c>
      <c r="E139" s="29" t="inlineStr">
        <is>
          <t>Monday</t>
        </is>
      </c>
      <c r="F139" s="29" t="inlineStr">
        <is>
          <t>Run</t>
        </is>
      </c>
      <c r="G139" s="29" t="inlineStr">
        <is>
          <t>Easy</t>
        </is>
      </c>
      <c r="H139" s="29" t="n">
        <v>6.5</v>
      </c>
      <c r="I139" s="29" t="inlineStr">
        <is>
          <t>Easy</t>
        </is>
      </c>
      <c r="J139" s="29" t="inlineStr">
        <is>
          <t>Easy/conversational pace</t>
        </is>
      </c>
      <c r="K139" s="38" t="inlineStr">
        <is>
          <t>Easy run</t>
        </is>
      </c>
      <c r="L139" s="15" t="n"/>
      <c r="M139" s="15" t="n"/>
      <c r="N139" s="48" t="n"/>
      <c r="O139" s="49">
        <f>IF(AND(ISNUMBER(M164),ISNUMBER(N164),M164&gt;0),(N164/M164)/1440,"")</f>
        <v/>
      </c>
      <c r="P139" s="15" t="n"/>
      <c r="Q139" s="15" t="n"/>
      <c r="R139" s="15" t="n"/>
    </row>
    <row r="140">
      <c r="A140" s="29" t="n">
        <v>18</v>
      </c>
      <c r="B140" s="29" t="inlineStr">
        <is>
          <t>Peak</t>
        </is>
      </c>
      <c r="C140" s="29" t="inlineStr">
        <is>
          <t>No</t>
        </is>
      </c>
      <c r="D140" s="30" t="n">
        <v>46343</v>
      </c>
      <c r="E140" s="29" t="inlineStr">
        <is>
          <t>Tuesday</t>
        </is>
      </c>
      <c r="F140" s="29" t="inlineStr">
        <is>
          <t>Run</t>
        </is>
      </c>
      <c r="G140" s="29" t="inlineStr">
        <is>
          <t>Tempo</t>
        </is>
      </c>
      <c r="H140" s="29" t="n">
        <v>7.5</v>
      </c>
      <c r="I140" s="29" t="inlineStr">
        <is>
          <t>Tempo</t>
        </is>
      </c>
      <c r="J140" s="29" t="inlineStr">
        <is>
          <t>Continuous tempo block within the session, building duration through the phase</t>
        </is>
      </c>
      <c r="K140" s="38" t="inlineStr">
        <is>
          <t>3 x 10-min tempo</t>
        </is>
      </c>
      <c r="L140" s="15" t="n"/>
      <c r="M140" s="15" t="n"/>
      <c r="N140" s="48" t="n"/>
      <c r="O140" s="49">
        <f>IF(AND(ISNUMBER(M165),ISNUMBER(N165),M165&gt;0),(N165/M165)/1440,"")</f>
        <v/>
      </c>
      <c r="P140" s="15" t="n"/>
      <c r="Q140" s="15" t="n"/>
      <c r="R140" s="15" t="n"/>
    </row>
    <row r="141">
      <c r="A141" s="29" t="n">
        <v>18</v>
      </c>
      <c r="B141" s="29" t="inlineStr">
        <is>
          <t>Peak</t>
        </is>
      </c>
      <c r="C141" s="29" t="inlineStr">
        <is>
          <t>No</t>
        </is>
      </c>
      <c r="D141" s="30" t="n">
        <v>46344</v>
      </c>
      <c r="E141" s="29" t="inlineStr">
        <is>
          <t>Wednesday</t>
        </is>
      </c>
      <c r="F141" s="29" t="inlineStr">
        <is>
          <t>Rest</t>
        </is>
      </c>
      <c r="G141" s="29" t="inlineStr">
        <is>
          <t>Full rest</t>
        </is>
      </c>
      <c r="H141" s="29" t="n"/>
      <c r="I141" s="29" t="inlineStr">
        <is>
          <t>-</t>
        </is>
      </c>
      <c r="J141" s="29" t="inlineStr">
        <is>
          <t>Full rest - reduced from 6 to 4 training days/week</t>
        </is>
      </c>
      <c r="K141" s="38" t="inlineStr">
        <is>
          <t>-</t>
        </is>
      </c>
      <c r="L141" s="15" t="n"/>
      <c r="M141" s="15" t="n"/>
      <c r="N141" s="48" t="n"/>
      <c r="O141" s="49">
        <f>IF(AND(ISNUMBER(M166),ISNUMBER(N166),M166&gt;0),(N166/M166)/1440,"")</f>
        <v/>
      </c>
      <c r="P141" s="15" t="n"/>
      <c r="Q141" s="15" t="n"/>
      <c r="R141" s="15" t="n"/>
    </row>
    <row r="142">
      <c r="A142" s="29" t="n">
        <v>18</v>
      </c>
      <c r="B142" s="29" t="inlineStr">
        <is>
          <t>Peak</t>
        </is>
      </c>
      <c r="C142" s="29" t="inlineStr">
        <is>
          <t>No</t>
        </is>
      </c>
      <c r="D142" s="30" t="n">
        <v>46345</v>
      </c>
      <c r="E142" s="29" t="inlineStr">
        <is>
          <t>Thursday</t>
        </is>
      </c>
      <c r="F142" s="29" t="inlineStr">
        <is>
          <t>Run</t>
        </is>
      </c>
      <c r="G142" s="29" t="inlineStr">
        <is>
          <t>Medium-long (MP finish)</t>
        </is>
      </c>
      <c r="H142" s="29" t="n">
        <v>14</v>
      </c>
      <c r="I142" s="29" t="inlineStr">
        <is>
          <t>Steady + MP finish</t>
        </is>
      </c>
      <c r="J142" s="29" t="inlineStr">
        <is>
          <t>Medium-long run with the last 2-3km at marathon-pace effort</t>
        </is>
      </c>
      <c r="K142" s="38" t="inlineStr">
        <is>
          <t>Medium-long + MP finish</t>
        </is>
      </c>
      <c r="L142" s="15" t="n"/>
      <c r="M142" s="15" t="n"/>
      <c r="N142" s="48" t="n"/>
      <c r="O142" s="49">
        <f>IF(AND(ISNUMBER(M168),ISNUMBER(N168),M168&gt;0),(N168/M168)/1440,"")</f>
        <v/>
      </c>
      <c r="P142" s="15" t="n"/>
      <c r="Q142" s="15" t="n"/>
      <c r="R142" s="15" t="n"/>
    </row>
    <row r="143">
      <c r="A143" s="29" t="n">
        <v>18</v>
      </c>
      <c r="B143" s="29" t="inlineStr">
        <is>
          <t>Peak</t>
        </is>
      </c>
      <c r="C143" s="29" t="inlineStr">
        <is>
          <t>No</t>
        </is>
      </c>
      <c r="D143" s="30" t="n">
        <v>46346</v>
      </c>
      <c r="E143" s="29" t="inlineStr">
        <is>
          <t>Friday</t>
        </is>
      </c>
      <c r="F143" s="29" t="inlineStr">
        <is>
          <t>Cross-train</t>
        </is>
      </c>
      <c r="G143" s="29" t="inlineStr">
        <is>
          <t>Elliptical + Hip/Knee</t>
        </is>
      </c>
      <c r="H143" s="29" t="n"/>
      <c r="I143" s="29" t="inlineStr">
        <is>
          <t>Easy-moderate</t>
        </is>
      </c>
      <c r="J143" s="29" t="inlineStr">
        <is>
          <t>Low-impact cross-training + hip/knee injury-prevention work (replaces Gym Push day)</t>
        </is>
      </c>
      <c r="K143" s="38" t="inlineStr">
        <is>
          <t>Elliptical + hip/knee circuit</t>
        </is>
      </c>
      <c r="L143" s="15" t="n"/>
      <c r="M143" s="15" t="n"/>
      <c r="N143" s="48" t="n"/>
      <c r="O143" s="49">
        <f>IF(AND(ISNUMBER(M169),ISNUMBER(N169),M169&gt;0),(N169/M169)/1440,"")</f>
        <v/>
      </c>
      <c r="P143" s="15" t="n"/>
      <c r="Q143" s="15" t="n"/>
      <c r="R143" s="15" t="n"/>
    </row>
    <row r="144">
      <c r="A144" s="29" t="n">
        <v>18</v>
      </c>
      <c r="B144" s="29" t="inlineStr">
        <is>
          <t>Peak</t>
        </is>
      </c>
      <c r="C144" s="29" t="inlineStr">
        <is>
          <t>No</t>
        </is>
      </c>
      <c r="D144" s="30" t="n">
        <v>46347</v>
      </c>
      <c r="E144" s="29" t="inlineStr">
        <is>
          <t>Saturday</t>
        </is>
      </c>
      <c r="F144" s="29" t="inlineStr">
        <is>
          <t>Run</t>
        </is>
      </c>
      <c r="G144" s="29" t="inlineStr">
        <is>
          <t>Long run</t>
        </is>
      </c>
      <c r="H144" s="29" t="n">
        <v>32</v>
      </c>
      <c r="I144" s="29" t="inlineStr">
        <is>
          <t>Easy + MP segments</t>
        </is>
      </c>
      <c r="J144" s="29" t="inlineStr">
        <is>
          <t>Long run with marathon-pace segments in the back half (see plan notes)</t>
        </is>
      </c>
      <c r="K144" s="38" t="inlineStr">
        <is>
          <t>Long run + MP segments</t>
        </is>
      </c>
      <c r="L144" s="15" t="n"/>
      <c r="M144" s="15" t="n"/>
      <c r="N144" s="48" t="n"/>
      <c r="O144" s="49">
        <f>IF(AND(ISNUMBER(M171),ISNUMBER(N171),M171&gt;0),(N171/M171)/1440,"")</f>
        <v/>
      </c>
      <c r="P144" s="15" t="n"/>
      <c r="Q144" s="15" t="n"/>
      <c r="R144" s="15" t="n"/>
    </row>
    <row r="145">
      <c r="A145" s="16" t="n">
        <v>19</v>
      </c>
      <c r="B145" s="16" t="inlineStr">
        <is>
          <t>Taper</t>
        </is>
      </c>
      <c r="C145" s="16" t="inlineStr">
        <is>
          <t>No</t>
        </is>
      </c>
      <c r="D145" s="17" t="n">
        <v>46348</v>
      </c>
      <c r="E145" s="16" t="inlineStr">
        <is>
          <t>Sunday</t>
        </is>
      </c>
      <c r="F145" s="16" t="inlineStr">
        <is>
          <t>Rest</t>
        </is>
      </c>
      <c r="G145" s="16" t="inlineStr">
        <is>
          <t>Full rest</t>
        </is>
      </c>
      <c r="H145" s="16" t="n"/>
      <c r="I145" s="16" t="inlineStr">
        <is>
          <t>-</t>
        </is>
      </c>
      <c r="J145" s="16" t="inlineStr">
        <is>
          <t>Recovery after Saturday's long run</t>
        </is>
      </c>
      <c r="K145" s="38" t="inlineStr">
        <is>
          <t>-</t>
        </is>
      </c>
      <c r="L145" s="15" t="n"/>
      <c r="M145" s="15" t="n"/>
      <c r="N145" s="48" t="n"/>
      <c r="O145" s="49">
        <f>IF(AND(ISNUMBER(M172),ISNUMBER(N172),M172&gt;0),(N172/M172)/1440,"")</f>
        <v/>
      </c>
      <c r="P145" s="15" t="n"/>
      <c r="Q145" s="15" t="n"/>
      <c r="R145" s="15" t="n"/>
    </row>
    <row r="146">
      <c r="A146" s="31" t="n">
        <v>19</v>
      </c>
      <c r="B146" s="31" t="inlineStr">
        <is>
          <t>Taper</t>
        </is>
      </c>
      <c r="C146" s="31" t="inlineStr">
        <is>
          <t>No</t>
        </is>
      </c>
      <c r="D146" s="32" t="n">
        <v>46349</v>
      </c>
      <c r="E146" s="31" t="inlineStr">
        <is>
          <t>Monday</t>
        </is>
      </c>
      <c r="F146" s="31" t="inlineStr">
        <is>
          <t>Gym</t>
        </is>
      </c>
      <c r="G146" s="31" t="inlineStr">
        <is>
          <t>Legs</t>
        </is>
      </c>
      <c r="H146" s="31" t="n"/>
      <c r="I146" s="31" t="inlineStr">
        <is>
          <t>-</t>
        </is>
      </c>
      <c r="J146" s="31" t="inlineStr">
        <is>
          <t>Legs day + easy run</t>
        </is>
      </c>
      <c r="K146" s="38" t="inlineStr">
        <is>
          <t>-</t>
        </is>
      </c>
      <c r="L146" s="15" t="n"/>
      <c r="M146" s="15" t="n"/>
      <c r="N146" s="48" t="n"/>
      <c r="O146" s="49">
        <f>IF(AND(ISNUMBER(M173),ISNUMBER(N173),M173&gt;0),(N173/M173)/1440,"")</f>
        <v/>
      </c>
      <c r="P146" s="15" t="n"/>
      <c r="Q146" s="15" t="n"/>
      <c r="R146" s="15" t="n"/>
    </row>
    <row r="147">
      <c r="A147" s="31" t="n">
        <v>19</v>
      </c>
      <c r="B147" s="31" t="inlineStr">
        <is>
          <t>Taper</t>
        </is>
      </c>
      <c r="C147" s="31" t="inlineStr">
        <is>
          <t>No</t>
        </is>
      </c>
      <c r="D147" s="32" t="n">
        <v>46349</v>
      </c>
      <c r="E147" s="31" t="inlineStr">
        <is>
          <t>Monday</t>
        </is>
      </c>
      <c r="F147" s="31" t="inlineStr">
        <is>
          <t>Run</t>
        </is>
      </c>
      <c r="G147" s="31" t="inlineStr">
        <is>
          <t>Easy</t>
        </is>
      </c>
      <c r="H147" s="31" t="n">
        <v>5</v>
      </c>
      <c r="I147" s="31" t="inlineStr">
        <is>
          <t>Easy</t>
        </is>
      </c>
      <c r="J147" s="31" t="inlineStr">
        <is>
          <t>Easy/conversational pace</t>
        </is>
      </c>
      <c r="K147" s="38" t="inlineStr">
        <is>
          <t>Easy run</t>
        </is>
      </c>
      <c r="L147" s="15" t="n"/>
      <c r="M147" s="15" t="n"/>
      <c r="N147" s="48" t="n"/>
      <c r="O147" s="49">
        <f>IF(AND(ISNUMBER(M174),ISNUMBER(N174),M174&gt;0),(N174/M174)/1440,"")</f>
        <v/>
      </c>
      <c r="P147" s="15" t="n"/>
      <c r="Q147" s="15" t="n"/>
      <c r="R147" s="15" t="n"/>
    </row>
    <row r="148">
      <c r="A148" s="31" t="n">
        <v>19</v>
      </c>
      <c r="B148" s="31" t="inlineStr">
        <is>
          <t>Taper</t>
        </is>
      </c>
      <c r="C148" s="31" t="inlineStr">
        <is>
          <t>No</t>
        </is>
      </c>
      <c r="D148" s="32" t="n">
        <v>46350</v>
      </c>
      <c r="E148" s="31" t="inlineStr">
        <is>
          <t>Tuesday</t>
        </is>
      </c>
      <c r="F148" s="31" t="inlineStr">
        <is>
          <t>Run</t>
        </is>
      </c>
      <c r="G148" s="31" t="inlineStr">
        <is>
          <t>Intervals</t>
        </is>
      </c>
      <c r="H148" s="31" t="n">
        <v>5</v>
      </c>
      <c r="I148" s="31" t="inlineStr">
        <is>
          <t>Intervals</t>
        </is>
      </c>
      <c r="J148" s="31" t="inlineStr">
        <is>
          <t>Repeats (e.g. 400-1000m) with equal-time jog recovery, building reps through the phase</t>
        </is>
      </c>
      <c r="K148" s="38" t="inlineStr">
        <is>
          <t>6 x 2 min (sharpener)</t>
        </is>
      </c>
      <c r="L148" s="15" t="n"/>
      <c r="M148" s="15" t="n"/>
      <c r="N148" s="48" t="n"/>
      <c r="O148" s="49">
        <f>IF(AND(ISNUMBER(M175),ISNUMBER(N175),M175&gt;0),(N175/M175)/1440,"")</f>
        <v/>
      </c>
      <c r="P148" s="15" t="n"/>
      <c r="Q148" s="15" t="n"/>
      <c r="R148" s="15" t="n"/>
    </row>
    <row r="149">
      <c r="A149" s="31" t="n">
        <v>19</v>
      </c>
      <c r="B149" s="31" t="inlineStr">
        <is>
          <t>Taper</t>
        </is>
      </c>
      <c r="C149" s="31" t="inlineStr">
        <is>
          <t>No</t>
        </is>
      </c>
      <c r="D149" s="32" t="n">
        <v>46351</v>
      </c>
      <c r="E149" s="31" t="inlineStr">
        <is>
          <t>Wednesday</t>
        </is>
      </c>
      <c r="F149" s="31" t="inlineStr">
        <is>
          <t>Rest</t>
        </is>
      </c>
      <c r="G149" s="31" t="inlineStr">
        <is>
          <t>Full rest</t>
        </is>
      </c>
      <c r="H149" s="31" t="n"/>
      <c r="I149" s="31" t="inlineStr">
        <is>
          <t>-</t>
        </is>
      </c>
      <c r="J149" s="31" t="inlineStr">
        <is>
          <t>Full rest - reduced from 6 to 4 training days/week</t>
        </is>
      </c>
      <c r="K149" s="38" t="inlineStr">
        <is>
          <t>-</t>
        </is>
      </c>
      <c r="L149" s="15" t="n"/>
      <c r="M149" s="15" t="n"/>
      <c r="N149" s="48" t="n"/>
      <c r="O149" s="49">
        <f>IF(AND(ISNUMBER(M176),ISNUMBER(N176),M176&gt;0),(N176/M176)/1440,"")</f>
        <v/>
      </c>
      <c r="P149" s="15" t="n"/>
      <c r="Q149" s="15" t="n"/>
      <c r="R149" s="15" t="n"/>
    </row>
    <row r="150">
      <c r="A150" s="31" t="n">
        <v>19</v>
      </c>
      <c r="B150" s="31" t="inlineStr">
        <is>
          <t>Taper</t>
        </is>
      </c>
      <c r="C150" s="31" t="inlineStr">
        <is>
          <t>No</t>
        </is>
      </c>
      <c r="D150" s="32" t="n">
        <v>46352</v>
      </c>
      <c r="E150" s="31" t="inlineStr">
        <is>
          <t>Thursday</t>
        </is>
      </c>
      <c r="F150" s="31" t="inlineStr">
        <is>
          <t>Run</t>
        </is>
      </c>
      <c r="G150" s="31" t="inlineStr">
        <is>
          <t>Medium-long (MP finish)</t>
        </is>
      </c>
      <c r="H150" s="31" t="n">
        <v>10</v>
      </c>
      <c r="I150" s="31" t="inlineStr">
        <is>
          <t>Steady + MP finish</t>
        </is>
      </c>
      <c r="J150" s="31" t="inlineStr">
        <is>
          <t>Medium-long run with the last 2-3km at marathon-pace effort</t>
        </is>
      </c>
      <c r="K150" s="38" t="inlineStr">
        <is>
          <t>Medium-long + MP finish</t>
        </is>
      </c>
      <c r="L150" s="15" t="n"/>
      <c r="M150" s="15" t="n"/>
      <c r="N150" s="48" t="n"/>
      <c r="O150" s="49">
        <f>IF(AND(ISNUMBER(M178),ISNUMBER(N178),M178&gt;0),(N178/M178)/1440,"")</f>
        <v/>
      </c>
      <c r="P150" s="15" t="n"/>
      <c r="Q150" s="15" t="n"/>
      <c r="R150" s="15" t="n"/>
    </row>
    <row r="151">
      <c r="A151" s="31" t="n">
        <v>19</v>
      </c>
      <c r="B151" s="31" t="inlineStr">
        <is>
          <t>Taper</t>
        </is>
      </c>
      <c r="C151" s="31" t="inlineStr">
        <is>
          <t>No</t>
        </is>
      </c>
      <c r="D151" s="32" t="n">
        <v>46353</v>
      </c>
      <c r="E151" s="31" t="inlineStr">
        <is>
          <t>Friday</t>
        </is>
      </c>
      <c r="F151" s="31" t="inlineStr">
        <is>
          <t>Cross-train</t>
        </is>
      </c>
      <c r="G151" s="31" t="inlineStr">
        <is>
          <t>Elliptical + Hip/Knee</t>
        </is>
      </c>
      <c r="H151" s="31" t="n"/>
      <c r="I151" s="31" t="inlineStr">
        <is>
          <t>Easy-moderate</t>
        </is>
      </c>
      <c r="J151" s="31" t="inlineStr">
        <is>
          <t>Low-impact cross-training + hip/knee injury-prevention work (replaces Gym Push day)</t>
        </is>
      </c>
      <c r="K151" s="38" t="inlineStr">
        <is>
          <t>Elliptical + hip/knee circuit</t>
        </is>
      </c>
      <c r="L151" s="15" t="n"/>
      <c r="M151" s="15" t="n"/>
      <c r="N151" s="48" t="n"/>
      <c r="O151" s="49">
        <f>IF(AND(ISNUMBER(M179),ISNUMBER(N179),M179&gt;0),(N179/M179)/1440,"")</f>
        <v/>
      </c>
      <c r="P151" s="15" t="n"/>
      <c r="Q151" s="15" t="n"/>
      <c r="R151" s="15" t="n"/>
    </row>
    <row r="152">
      <c r="A152" s="31" t="n">
        <v>19</v>
      </c>
      <c r="B152" s="31" t="inlineStr">
        <is>
          <t>Taper</t>
        </is>
      </c>
      <c r="C152" s="31" t="inlineStr">
        <is>
          <t>No</t>
        </is>
      </c>
      <c r="D152" s="32" t="n">
        <v>46354</v>
      </c>
      <c r="E152" s="31" t="inlineStr">
        <is>
          <t>Saturday</t>
        </is>
      </c>
      <c r="F152" s="31" t="inlineStr">
        <is>
          <t>Run</t>
        </is>
      </c>
      <c r="G152" s="31" t="inlineStr">
        <is>
          <t>Long run</t>
        </is>
      </c>
      <c r="H152" s="31" t="n">
        <v>24</v>
      </c>
      <c r="I152" s="31" t="inlineStr">
        <is>
          <t>Easy + MP segments</t>
        </is>
      </c>
      <c r="J152" s="31" t="inlineStr">
        <is>
          <t>Long run with marathon-pace segments in the back half (see plan notes)</t>
        </is>
      </c>
      <c r="K152" s="38" t="inlineStr">
        <is>
          <t>Long run + MP segments</t>
        </is>
      </c>
      <c r="L152" s="15" t="n"/>
      <c r="M152" s="15" t="n"/>
      <c r="N152" s="48" t="n"/>
      <c r="O152" s="49">
        <f>IF(AND(ISNUMBER(M181),ISNUMBER(N181),M181&gt;0),(N181/M181)/1440,"")</f>
        <v/>
      </c>
      <c r="P152" s="15" t="n"/>
      <c r="Q152" s="15" t="n"/>
      <c r="R152" s="15" t="n"/>
    </row>
    <row r="153">
      <c r="A153" s="16" t="n">
        <v>20</v>
      </c>
      <c r="B153" s="16" t="inlineStr">
        <is>
          <t>Taper</t>
        </is>
      </c>
      <c r="C153" s="16" t="inlineStr">
        <is>
          <t>No</t>
        </is>
      </c>
      <c r="D153" s="17" t="n">
        <v>46355</v>
      </c>
      <c r="E153" s="16" t="inlineStr">
        <is>
          <t>Sunday</t>
        </is>
      </c>
      <c r="F153" s="16" t="inlineStr">
        <is>
          <t>Rest</t>
        </is>
      </c>
      <c r="G153" s="16" t="inlineStr">
        <is>
          <t>Full rest</t>
        </is>
      </c>
      <c r="H153" s="16" t="n"/>
      <c r="I153" s="16" t="inlineStr">
        <is>
          <t>-</t>
        </is>
      </c>
      <c r="J153" s="16" t="inlineStr">
        <is>
          <t>Recovery after Saturday's long run</t>
        </is>
      </c>
      <c r="K153" s="38" t="inlineStr">
        <is>
          <t>-</t>
        </is>
      </c>
      <c r="L153" s="15" t="n"/>
      <c r="M153" s="15" t="n"/>
      <c r="N153" s="48" t="n"/>
      <c r="O153" s="49">
        <f>IF(AND(ISNUMBER(M182),ISNUMBER(N182),M182&gt;0),(N182/M182)/1440,"")</f>
        <v/>
      </c>
      <c r="P153" s="15" t="n"/>
      <c r="Q153" s="15" t="n"/>
      <c r="R153" s="15" t="n"/>
    </row>
    <row r="154">
      <c r="A154" s="31" t="n">
        <v>20</v>
      </c>
      <c r="B154" s="31" t="inlineStr">
        <is>
          <t>Taper</t>
        </is>
      </c>
      <c r="C154" s="31" t="inlineStr">
        <is>
          <t>No</t>
        </is>
      </c>
      <c r="D154" s="32" t="n">
        <v>46356</v>
      </c>
      <c r="E154" s="31" t="inlineStr">
        <is>
          <t>Monday</t>
        </is>
      </c>
      <c r="F154" s="31" t="inlineStr">
        <is>
          <t>Gym</t>
        </is>
      </c>
      <c r="G154" s="31" t="inlineStr">
        <is>
          <t>Legs</t>
        </is>
      </c>
      <c r="H154" s="31" t="n"/>
      <c r="I154" s="31" t="inlineStr">
        <is>
          <t>-</t>
        </is>
      </c>
      <c r="J154" s="31" t="inlineStr">
        <is>
          <t>Legs day + easy run</t>
        </is>
      </c>
      <c r="K154" s="38" t="inlineStr">
        <is>
          <t>-</t>
        </is>
      </c>
      <c r="L154" s="15" t="n"/>
      <c r="M154" s="15" t="n"/>
      <c r="N154" s="48" t="n"/>
      <c r="O154" s="49">
        <f>IF(AND(ISNUMBER(M183),ISNUMBER(N183),M183&gt;0),(N183/M183)/1440,"")</f>
        <v/>
      </c>
      <c r="P154" s="15" t="n"/>
      <c r="Q154" s="15" t="n"/>
      <c r="R154" s="15" t="n"/>
    </row>
    <row r="155">
      <c r="A155" s="31" t="n">
        <v>20</v>
      </c>
      <c r="B155" s="31" t="inlineStr">
        <is>
          <t>Taper</t>
        </is>
      </c>
      <c r="C155" s="31" t="inlineStr">
        <is>
          <t>No</t>
        </is>
      </c>
      <c r="D155" s="32" t="n">
        <v>46356</v>
      </c>
      <c r="E155" s="31" t="inlineStr">
        <is>
          <t>Monday</t>
        </is>
      </c>
      <c r="F155" s="31" t="inlineStr">
        <is>
          <t>Run</t>
        </is>
      </c>
      <c r="G155" s="31" t="inlineStr">
        <is>
          <t>Easy</t>
        </is>
      </c>
      <c r="H155" s="31" t="n">
        <v>5</v>
      </c>
      <c r="I155" s="31" t="inlineStr">
        <is>
          <t>Easy</t>
        </is>
      </c>
      <c r="J155" s="31" t="inlineStr">
        <is>
          <t>Easy/conversational pace</t>
        </is>
      </c>
      <c r="K155" s="38" t="inlineStr">
        <is>
          <t>Easy run</t>
        </is>
      </c>
      <c r="L155" s="15" t="n"/>
      <c r="M155" s="15" t="n"/>
      <c r="N155" s="48" t="n"/>
      <c r="O155" s="49">
        <f>IF(AND(ISNUMBER(M184),ISNUMBER(N184),M184&gt;0),(N184/M184)/1440,"")</f>
        <v/>
      </c>
      <c r="P155" s="15" t="n"/>
      <c r="Q155" s="15" t="n"/>
      <c r="R155" s="15" t="n"/>
    </row>
    <row r="156">
      <c r="A156" s="31" t="n">
        <v>20</v>
      </c>
      <c r="B156" s="31" t="inlineStr">
        <is>
          <t>Taper</t>
        </is>
      </c>
      <c r="C156" s="31" t="inlineStr">
        <is>
          <t>No</t>
        </is>
      </c>
      <c r="D156" s="32" t="n">
        <v>46357</v>
      </c>
      <c r="E156" s="31" t="inlineStr">
        <is>
          <t>Tuesday</t>
        </is>
      </c>
      <c r="F156" s="31" t="inlineStr">
        <is>
          <t>Run</t>
        </is>
      </c>
      <c r="G156" s="31" t="inlineStr">
        <is>
          <t>Tempo</t>
        </is>
      </c>
      <c r="H156" s="31" t="n">
        <v>5</v>
      </c>
      <c r="I156" s="31" t="inlineStr">
        <is>
          <t>Tempo</t>
        </is>
      </c>
      <c r="J156" s="31" t="inlineStr">
        <is>
          <t>Continuous tempo block within the session, building duration through the phase</t>
        </is>
      </c>
      <c r="K156" s="38" t="inlineStr">
        <is>
          <t>15-min tempo (sharpener)</t>
        </is>
      </c>
      <c r="L156" s="15" t="n"/>
      <c r="M156" s="15" t="n"/>
      <c r="N156" s="48" t="n"/>
      <c r="O156" s="49">
        <f>IF(AND(ISNUMBER(M185),ISNUMBER(N185),M185&gt;0),(N185/M185)/1440,"")</f>
        <v/>
      </c>
      <c r="P156" s="15" t="n"/>
      <c r="Q156" s="15" t="n"/>
      <c r="R156" s="15" t="n"/>
    </row>
    <row r="157">
      <c r="A157" s="31" t="n">
        <v>20</v>
      </c>
      <c r="B157" s="31" t="inlineStr">
        <is>
          <t>Taper</t>
        </is>
      </c>
      <c r="C157" s="31" t="inlineStr">
        <is>
          <t>No</t>
        </is>
      </c>
      <c r="D157" s="32" t="n">
        <v>46358</v>
      </c>
      <c r="E157" s="31" t="inlineStr">
        <is>
          <t>Wednesday</t>
        </is>
      </c>
      <c r="F157" s="31" t="inlineStr">
        <is>
          <t>Rest</t>
        </is>
      </c>
      <c r="G157" s="31" t="inlineStr">
        <is>
          <t>Full rest</t>
        </is>
      </c>
      <c r="H157" s="31" t="n"/>
      <c r="I157" s="31" t="inlineStr">
        <is>
          <t>-</t>
        </is>
      </c>
      <c r="J157" s="31" t="inlineStr">
        <is>
          <t>Full rest - reduced from 6 to 4 training days/week</t>
        </is>
      </c>
      <c r="K157" s="38" t="inlineStr">
        <is>
          <t>-</t>
        </is>
      </c>
      <c r="L157" s="15" t="n"/>
      <c r="M157" s="15" t="n"/>
      <c r="N157" s="48" t="n"/>
      <c r="O157" s="49">
        <f>IF(AND(ISNUMBER(M186),ISNUMBER(N186),M186&gt;0),(N186/M186)/1440,"")</f>
        <v/>
      </c>
      <c r="P157" s="15" t="n"/>
      <c r="Q157" s="15" t="n"/>
      <c r="R157" s="15" t="n"/>
    </row>
    <row r="158">
      <c r="A158" s="31" t="n">
        <v>20</v>
      </c>
      <c r="B158" s="31" t="inlineStr">
        <is>
          <t>Taper</t>
        </is>
      </c>
      <c r="C158" s="31" t="inlineStr">
        <is>
          <t>No</t>
        </is>
      </c>
      <c r="D158" s="32" t="n">
        <v>46359</v>
      </c>
      <c r="E158" s="31" t="inlineStr">
        <is>
          <t>Thursday</t>
        </is>
      </c>
      <c r="F158" s="31" t="inlineStr">
        <is>
          <t>Run</t>
        </is>
      </c>
      <c r="G158" s="31" t="inlineStr">
        <is>
          <t>Medium-long (MP finish)</t>
        </is>
      </c>
      <c r="H158" s="31" t="n">
        <v>6</v>
      </c>
      <c r="I158" s="31" t="inlineStr">
        <is>
          <t>Steady + MP finish</t>
        </is>
      </c>
      <c r="J158" s="31" t="inlineStr">
        <is>
          <t>Medium-long run with the last 2-3km at marathon-pace effort</t>
        </is>
      </c>
      <c r="K158" s="38" t="inlineStr">
        <is>
          <t>Medium-long + MP finish</t>
        </is>
      </c>
      <c r="L158" s="15" t="n"/>
      <c r="M158" s="15" t="n"/>
      <c r="N158" s="48" t="n"/>
      <c r="O158" s="49">
        <f>IF(AND(ISNUMBER(M188),ISNUMBER(N188),M188&gt;0),(N188/M188)/1440,"")</f>
        <v/>
      </c>
      <c r="P158" s="15" t="n"/>
      <c r="Q158" s="15" t="n"/>
      <c r="R158" s="15" t="n"/>
    </row>
    <row r="159">
      <c r="A159" s="31" t="n">
        <v>20</v>
      </c>
      <c r="B159" s="31" t="inlineStr">
        <is>
          <t>Taper</t>
        </is>
      </c>
      <c r="C159" s="31" t="inlineStr">
        <is>
          <t>No</t>
        </is>
      </c>
      <c r="D159" s="32" t="n">
        <v>46360</v>
      </c>
      <c r="E159" s="31" t="inlineStr">
        <is>
          <t>Friday</t>
        </is>
      </c>
      <c r="F159" s="31" t="inlineStr">
        <is>
          <t>Cross-train</t>
        </is>
      </c>
      <c r="G159" s="31" t="inlineStr">
        <is>
          <t>Elliptical + Hip/Knee</t>
        </is>
      </c>
      <c r="H159" s="31" t="n"/>
      <c r="I159" s="31" t="inlineStr">
        <is>
          <t>Easy-moderate</t>
        </is>
      </c>
      <c r="J159" s="31" t="inlineStr">
        <is>
          <t>Low-impact cross-training + hip/knee injury-prevention work (replaces Gym Push day)</t>
        </is>
      </c>
      <c r="K159" s="38" t="inlineStr">
        <is>
          <t>Elliptical + hip/knee circuit</t>
        </is>
      </c>
      <c r="L159" s="15" t="n"/>
      <c r="M159" s="15" t="n"/>
      <c r="N159" s="48" t="n"/>
      <c r="O159" s="49">
        <f>IF(AND(ISNUMBER(M189),ISNUMBER(N189),M189&gt;0),(N189/M189)/1440,"")</f>
        <v/>
      </c>
      <c r="P159" s="15" t="n"/>
      <c r="Q159" s="15" t="n"/>
      <c r="R159" s="15" t="n"/>
    </row>
    <row r="160">
      <c r="A160" s="31" t="n">
        <v>20</v>
      </c>
      <c r="B160" s="31" t="inlineStr">
        <is>
          <t>Taper</t>
        </is>
      </c>
      <c r="C160" s="31" t="inlineStr">
        <is>
          <t>No</t>
        </is>
      </c>
      <c r="D160" s="32" t="n">
        <v>46361</v>
      </c>
      <c r="E160" s="31" t="inlineStr">
        <is>
          <t>Saturday</t>
        </is>
      </c>
      <c r="F160" s="31" t="inlineStr">
        <is>
          <t>Run</t>
        </is>
      </c>
      <c r="G160" s="31" t="inlineStr">
        <is>
          <t>Long run</t>
        </is>
      </c>
      <c r="H160" s="31" t="n">
        <v>16</v>
      </c>
      <c r="I160" s="31" t="inlineStr">
        <is>
          <t>Easy + MP segments</t>
        </is>
      </c>
      <c r="J160" s="31" t="inlineStr">
        <is>
          <t>Long run with marathon-pace segments in the back half (see plan notes)</t>
        </is>
      </c>
      <c r="K160" s="38" t="inlineStr">
        <is>
          <t>Long run + MP segments</t>
        </is>
      </c>
      <c r="L160" s="15" t="n"/>
      <c r="M160" s="15" t="n"/>
      <c r="N160" s="48" t="n"/>
      <c r="O160" s="49">
        <f>IF(AND(ISNUMBER(M191),ISNUMBER(N191),M191&gt;0),(N191/M191)/1440,"")</f>
        <v/>
      </c>
      <c r="P160" s="15" t="n"/>
      <c r="Q160" s="15" t="n"/>
      <c r="R160" s="15" t="n"/>
    </row>
    <row r="161">
      <c r="A161" s="16" t="n">
        <v>21</v>
      </c>
      <c r="B161" s="16" t="inlineStr">
        <is>
          <t>Taper</t>
        </is>
      </c>
      <c r="C161" s="16" t="inlineStr">
        <is>
          <t>No</t>
        </is>
      </c>
      <c r="D161" s="17" t="n">
        <v>46362</v>
      </c>
      <c r="E161" s="16" t="inlineStr">
        <is>
          <t>Sunday</t>
        </is>
      </c>
      <c r="F161" s="16" t="inlineStr">
        <is>
          <t>Rest</t>
        </is>
      </c>
      <c r="G161" s="16" t="inlineStr">
        <is>
          <t>Full rest</t>
        </is>
      </c>
      <c r="H161" s="16" t="n"/>
      <c r="I161" s="16" t="inlineStr">
        <is>
          <t>-</t>
        </is>
      </c>
      <c r="J161" s="16" t="inlineStr">
        <is>
          <t>Recovery after Saturday's long run</t>
        </is>
      </c>
      <c r="K161" s="38" t="inlineStr">
        <is>
          <t>-</t>
        </is>
      </c>
      <c r="L161" s="15" t="n"/>
      <c r="M161" s="15" t="n"/>
      <c r="N161" s="48" t="n"/>
      <c r="O161" s="49">
        <f>IF(AND(ISNUMBER(M192),ISNUMBER(N192),M192&gt;0),(N192/M192)/1440,"")</f>
        <v/>
      </c>
      <c r="P161" s="15" t="n"/>
      <c r="Q161" s="15" t="n"/>
      <c r="R161" s="15" t="n"/>
    </row>
    <row r="162">
      <c r="A162" s="31" t="n">
        <v>21</v>
      </c>
      <c r="B162" s="31" t="inlineStr">
        <is>
          <t>Taper</t>
        </is>
      </c>
      <c r="C162" s="31" t="inlineStr">
        <is>
          <t>No</t>
        </is>
      </c>
      <c r="D162" s="32" t="n">
        <v>46363</v>
      </c>
      <c r="E162" s="31" t="inlineStr">
        <is>
          <t>Monday</t>
        </is>
      </c>
      <c r="F162" s="31" t="inlineStr">
        <is>
          <t>Gym</t>
        </is>
      </c>
      <c r="G162" s="31" t="inlineStr">
        <is>
          <t>Legs</t>
        </is>
      </c>
      <c r="H162" s="31" t="n"/>
      <c r="I162" s="31" t="inlineStr">
        <is>
          <t>-</t>
        </is>
      </c>
      <c r="J162" s="31" t="inlineStr">
        <is>
          <t>Very light mobility only - no lifting, race is Saturday</t>
        </is>
      </c>
      <c r="K162" s="38" t="inlineStr">
        <is>
          <t>-</t>
        </is>
      </c>
      <c r="L162" s="15" t="n"/>
      <c r="M162" s="15" t="n"/>
      <c r="N162" s="48" t="n"/>
      <c r="O162" s="49">
        <f>IF(AND(ISNUMBER(M193),ISNUMBER(N193),M193&gt;0),(N193/M193)/1440,"")</f>
        <v/>
      </c>
      <c r="P162" s="15" t="n"/>
      <c r="Q162" s="15" t="n"/>
      <c r="R162" s="15" t="n"/>
    </row>
    <row r="163">
      <c r="A163" s="31" t="n">
        <v>21</v>
      </c>
      <c r="B163" s="31" t="inlineStr">
        <is>
          <t>Taper</t>
        </is>
      </c>
      <c r="C163" s="31" t="inlineStr">
        <is>
          <t>No</t>
        </is>
      </c>
      <c r="D163" s="32" t="n">
        <v>46363</v>
      </c>
      <c r="E163" s="31" t="inlineStr">
        <is>
          <t>Monday</t>
        </is>
      </c>
      <c r="F163" s="31" t="inlineStr">
        <is>
          <t>Run</t>
        </is>
      </c>
      <c r="G163" s="31" t="inlineStr">
        <is>
          <t>Easy</t>
        </is>
      </c>
      <c r="H163" s="31" t="n">
        <v>3</v>
      </c>
      <c r="I163" s="31" t="inlineStr">
        <is>
          <t>Easy</t>
        </is>
      </c>
      <c r="J163" s="31" t="inlineStr">
        <is>
          <t>Short and easy, legs should feel fresh, not tired</t>
        </is>
      </c>
      <c r="K163" s="38" t="inlineStr">
        <is>
          <t>Easy run</t>
        </is>
      </c>
      <c r="L163" s="15" t="n"/>
      <c r="M163" s="15" t="n"/>
      <c r="N163" s="48" t="n"/>
      <c r="O163" s="49">
        <f>IF(AND(ISNUMBER(M194),ISNUMBER(N194),M194&gt;0),(N194/M194)/1440,"")</f>
        <v/>
      </c>
      <c r="P163" s="15" t="n"/>
      <c r="Q163" s="15" t="n"/>
      <c r="R163" s="15" t="n"/>
    </row>
    <row r="164">
      <c r="A164" s="31" t="n">
        <v>21</v>
      </c>
      <c r="B164" s="31" t="inlineStr">
        <is>
          <t>Taper</t>
        </is>
      </c>
      <c r="C164" s="31" t="inlineStr">
        <is>
          <t>No</t>
        </is>
      </c>
      <c r="D164" s="32" t="n">
        <v>46364</v>
      </c>
      <c r="E164" s="31" t="inlineStr">
        <is>
          <t>Tuesday</t>
        </is>
      </c>
      <c r="F164" s="31" t="inlineStr">
        <is>
          <t>Run</t>
        </is>
      </c>
      <c r="G164" s="31" t="inlineStr">
        <is>
          <t>Shakeout + strides</t>
        </is>
      </c>
      <c r="H164" s="31" t="n">
        <v>3</v>
      </c>
      <c r="I164" s="31" t="inlineStr">
        <is>
          <t>Easy + strides</t>
        </is>
      </c>
      <c r="J164" s="31" t="inlineStr">
        <is>
          <t>Short shakeout jog with 4x20s relaxed strides - keep legs turning over, nothing hard</t>
        </is>
      </c>
      <c r="K164" s="38" t="inlineStr">
        <is>
          <t>Shakeout + strides</t>
        </is>
      </c>
      <c r="L164" s="15" t="n"/>
      <c r="M164" s="15" t="n"/>
      <c r="N164" s="48" t="n"/>
      <c r="O164" s="49">
        <f>IF(AND(ISNUMBER(M195),ISNUMBER(N195),M195&gt;0),(N195/M195)/1440,"")</f>
        <v/>
      </c>
      <c r="P164" s="15" t="n"/>
      <c r="Q164" s="15" t="n"/>
      <c r="R164" s="15" t="n"/>
    </row>
    <row r="165">
      <c r="A165" s="16" t="n">
        <v>21</v>
      </c>
      <c r="B165" s="16" t="inlineStr">
        <is>
          <t>Taper</t>
        </is>
      </c>
      <c r="C165" s="16" t="inlineStr">
        <is>
          <t>No</t>
        </is>
      </c>
      <c r="D165" s="17" t="n">
        <v>46365</v>
      </c>
      <c r="E165" s="16" t="inlineStr">
        <is>
          <t>Wednesday</t>
        </is>
      </c>
      <c r="F165" s="16" t="inlineStr">
        <is>
          <t>Rest</t>
        </is>
      </c>
      <c r="G165" s="16" t="inlineStr">
        <is>
          <t>Full rest</t>
        </is>
      </c>
      <c r="H165" s="16" t="n"/>
      <c r="I165" s="16" t="inlineStr">
        <is>
          <t>-</t>
        </is>
      </c>
      <c r="J165" s="16" t="inlineStr">
        <is>
          <t>Full rest - no gym, no running, 3 days out from race</t>
        </is>
      </c>
      <c r="K165" s="38" t="inlineStr">
        <is>
          <t>-</t>
        </is>
      </c>
      <c r="L165" s="15" t="n"/>
      <c r="M165" s="15" t="n"/>
      <c r="N165" s="48" t="n"/>
      <c r="O165" s="49">
        <f>IF(AND(ISNUMBER(M196),ISNUMBER(N196),M196&gt;0),(N196/M196)/1440,"")</f>
        <v/>
      </c>
      <c r="P165" s="15" t="n"/>
      <c r="Q165" s="15" t="n"/>
      <c r="R165" s="15" t="n"/>
    </row>
    <row r="166">
      <c r="A166" s="16" t="n">
        <v>21</v>
      </c>
      <c r="B166" s="16" t="inlineStr">
        <is>
          <t>Taper</t>
        </is>
      </c>
      <c r="C166" s="16" t="inlineStr">
        <is>
          <t>No</t>
        </is>
      </c>
      <c r="D166" s="17" t="n">
        <v>46366</v>
      </c>
      <c r="E166" s="16" t="inlineStr">
        <is>
          <t>Thursday</t>
        </is>
      </c>
      <c r="F166" s="16" t="inlineStr">
        <is>
          <t>Rest</t>
        </is>
      </c>
      <c r="G166" s="16" t="inlineStr">
        <is>
          <t>Full rest</t>
        </is>
      </c>
      <c r="H166" s="16" t="n"/>
      <c r="I166" s="16" t="inlineStr">
        <is>
          <t>-</t>
        </is>
      </c>
      <c r="J166" s="16" t="inlineStr">
        <is>
          <t>Full rest - no gym, no running, 2 days out from race</t>
        </is>
      </c>
      <c r="K166" s="38" t="inlineStr">
        <is>
          <t>-</t>
        </is>
      </c>
      <c r="L166" s="15" t="n"/>
      <c r="M166" s="15" t="n"/>
      <c r="N166" s="48" t="n"/>
      <c r="O166" s="49">
        <f>IF(AND(ISNUMBER(M197),ISNUMBER(N197),M197&gt;0),(N197/M197)/1440,"")</f>
        <v/>
      </c>
      <c r="P166" s="15" t="n"/>
      <c r="Q166" s="15" t="n"/>
      <c r="R166" s="15" t="n"/>
    </row>
    <row r="167">
      <c r="A167" s="31" t="n">
        <v>21</v>
      </c>
      <c r="B167" s="31" t="inlineStr">
        <is>
          <t>Taper</t>
        </is>
      </c>
      <c r="C167" s="31" t="inlineStr">
        <is>
          <t>No</t>
        </is>
      </c>
      <c r="D167" s="32" t="n">
        <v>46367</v>
      </c>
      <c r="E167" s="31" t="inlineStr">
        <is>
          <t>Friday</t>
        </is>
      </c>
      <c r="F167" s="31" t="inlineStr">
        <is>
          <t>Run</t>
        </is>
      </c>
      <c r="G167" s="31" t="inlineStr">
        <is>
          <t>Pre-race shakeout</t>
        </is>
      </c>
      <c r="H167" s="31" t="n">
        <v>2.5</v>
      </c>
      <c r="I167" s="31" t="inlineStr">
        <is>
          <t>Easy</t>
        </is>
      </c>
      <c r="J167" s="31" t="inlineStr">
        <is>
          <t>Very short easy jog with a few strides, lay out race kit, early night</t>
        </is>
      </c>
      <c r="K167" s="38" t="inlineStr">
        <is>
          <t>Pre-race shakeout</t>
        </is>
      </c>
      <c r="L167" s="15" t="n"/>
      <c r="M167" s="15" t="n"/>
      <c r="N167" s="48" t="n"/>
      <c r="O167" s="49">
        <f>IF(AND(ISNUMBER(M198),ISNUMBER(N198),M198&gt;0),(N198/M198)/1440,"")</f>
        <v/>
      </c>
      <c r="P167" s="15" t="n"/>
      <c r="Q167" s="15" t="n"/>
      <c r="R167" s="15" t="n"/>
    </row>
    <row r="168">
      <c r="A168" s="33" t="n">
        <v>21</v>
      </c>
      <c r="B168" s="33" t="inlineStr">
        <is>
          <t>Taper</t>
        </is>
      </c>
      <c r="C168" s="33" t="inlineStr">
        <is>
          <t>No</t>
        </is>
      </c>
      <c r="D168" s="34" t="n">
        <v>46368</v>
      </c>
      <c r="E168" s="33" t="inlineStr">
        <is>
          <t>Saturday</t>
        </is>
      </c>
      <c r="F168" s="33" t="inlineStr">
        <is>
          <t>Race</t>
        </is>
      </c>
      <c r="G168" s="33" t="inlineStr">
        <is>
          <t>ABU DHABI MARATHON</t>
        </is>
      </c>
      <c r="H168" s="33" t="n">
        <v>42.2</v>
      </c>
      <c r="I168" s="33" t="inlineStr">
        <is>
          <t>Goal: sub-4:00 (~5:41/km)</t>
        </is>
      </c>
      <c r="J168" s="33" t="inlineStr">
        <is>
          <t>RACE DAY - trust the taper, start conservative, negative-split if it's going well</t>
        </is>
      </c>
      <c r="K168" s="38" t="inlineStr">
        <is>
          <t>Marathon - race day</t>
        </is>
      </c>
      <c r="L168" s="15" t="n"/>
      <c r="M168" s="15" t="n"/>
      <c r="N168" s="48" t="n"/>
      <c r="O168" s="49">
        <f>IF(AND(ISNUMBER(M199),ISNUMBER(N199),M199&gt;0),(N199/M199)/1440,"")</f>
        <v/>
      </c>
      <c r="P168" s="15" t="n"/>
      <c r="Q168" s="15" t="n"/>
      <c r="R168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62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2026-08-03T15:02:30Z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
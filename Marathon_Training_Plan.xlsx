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cardo_Picon/ad-marathon-prep/"/>
    </mc:Choice>
  </mc:AlternateContent>
  <xr:revisionPtr revIDLastSave="0" documentId="13_ncr:1_{5BBED7EA-7442-B544-9DCB-F05132640C4E}" xr6:coauthVersionLast="47" xr6:coauthVersionMax="47" xr10:uidLastSave="{00000000-0000-0000-0000-000000000000}"/>
  <bookViews>
    <workbookView xWindow="1420" yWindow="680" windowWidth="32780" windowHeight="21460" activeTab="1" xr2:uid="{00000000-000D-0000-FFFF-FFFF00000000}"/>
  </bookViews>
  <sheets>
    <sheet name="Overview" sheetId="1" r:id="rId1"/>
    <sheet name="Weekly Plan" sheetId="2" r:id="rId2"/>
    <sheet name="Workouts" sheetId="3" r:id="rId3"/>
    <sheet name="Weekly Summary" sheetId="4" r:id="rId4"/>
    <sheet name="Plan Changelog" sheetId="5" r:id="rId5"/>
  </sheets>
  <definedNames>
    <definedName name="_xlnm._FilterDatabase" localSheetId="1" hidden="1">'Weekly Plan'!$A$1:$Q$199</definedName>
    <definedName name="_xlnm._FilterDatabase" localSheetId="3" hidden="1">'Weekly Summary'!$A$1:$H$22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" l="1"/>
  <c r="F22" i="4"/>
  <c r="E22" i="4"/>
  <c r="D22" i="4"/>
  <c r="H22" i="4" s="1"/>
  <c r="C22" i="4"/>
  <c r="B22" i="4"/>
  <c r="G21" i="4"/>
  <c r="F21" i="4"/>
  <c r="E21" i="4"/>
  <c r="D21" i="4"/>
  <c r="H21" i="4" s="1"/>
  <c r="C21" i="4"/>
  <c r="B21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G18" i="4"/>
  <c r="F18" i="4"/>
  <c r="E18" i="4"/>
  <c r="D18" i="4"/>
  <c r="H18" i="4" s="1"/>
  <c r="C18" i="4"/>
  <c r="B18" i="4"/>
  <c r="G17" i="4"/>
  <c r="F17" i="4"/>
  <c r="E17" i="4"/>
  <c r="D17" i="4"/>
  <c r="H17" i="4" s="1"/>
  <c r="C17" i="4"/>
  <c r="B17" i="4"/>
  <c r="H16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H14" i="4" s="1"/>
  <c r="C14" i="4"/>
  <c r="B14" i="4"/>
  <c r="G13" i="4"/>
  <c r="F13" i="4"/>
  <c r="E13" i="4"/>
  <c r="D13" i="4"/>
  <c r="H13" i="4" s="1"/>
  <c r="C13" i="4"/>
  <c r="B13" i="4"/>
  <c r="G12" i="4"/>
  <c r="F12" i="4"/>
  <c r="E12" i="4"/>
  <c r="D12" i="4"/>
  <c r="H12" i="4" s="1"/>
  <c r="C12" i="4"/>
  <c r="B12" i="4"/>
  <c r="G11" i="4"/>
  <c r="F11" i="4"/>
  <c r="E11" i="4"/>
  <c r="D11" i="4"/>
  <c r="H11" i="4" s="1"/>
  <c r="C11" i="4"/>
  <c r="B11" i="4"/>
  <c r="G10" i="4"/>
  <c r="F10" i="4"/>
  <c r="E10" i="4"/>
  <c r="D10" i="4"/>
  <c r="H10" i="4" s="1"/>
  <c r="C10" i="4"/>
  <c r="B10" i="4"/>
  <c r="G9" i="4"/>
  <c r="F9" i="4"/>
  <c r="E9" i="4"/>
  <c r="D9" i="4"/>
  <c r="H9" i="4" s="1"/>
  <c r="C9" i="4"/>
  <c r="B9" i="4"/>
  <c r="G8" i="4"/>
  <c r="F8" i="4"/>
  <c r="E8" i="4"/>
  <c r="D8" i="4"/>
  <c r="H8" i="4" s="1"/>
  <c r="C8" i="4"/>
  <c r="B8" i="4"/>
  <c r="G7" i="4"/>
  <c r="F7" i="4"/>
  <c r="E7" i="4"/>
  <c r="D7" i="4"/>
  <c r="H7" i="4" s="1"/>
  <c r="C7" i="4"/>
  <c r="B7" i="4"/>
  <c r="G6" i="4"/>
  <c r="F6" i="4"/>
  <c r="E6" i="4"/>
  <c r="D6" i="4"/>
  <c r="H6" i="4" s="1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H2" i="4" s="1"/>
  <c r="C2" i="4"/>
  <c r="B2" i="4"/>
  <c r="C8" i="1"/>
  <c r="C9" i="1" s="1"/>
  <c r="C10" i="1" s="1"/>
  <c r="H4" i="4" l="1"/>
  <c r="H15" i="4"/>
  <c r="H3" i="4"/>
  <c r="H20" i="4"/>
  <c r="H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Edit columns K-Q (yellow) after each session: mark it done, log actual distance/duration/pace, RPE, how it felt, and any notes.</t>
        </r>
      </text>
    </comment>
  </commentList>
</comments>
</file>

<file path=xl/sharedStrings.xml><?xml version="1.0" encoding="utf-8"?>
<sst xmlns="http://schemas.openxmlformats.org/spreadsheetml/2006/main" count="1934" uniqueCount="318">
  <si>
    <t>Week</t>
  </si>
  <si>
    <t>Phase</t>
  </si>
  <si>
    <t>Deload</t>
  </si>
  <si>
    <t>Date</t>
  </si>
  <si>
    <t>Day</t>
  </si>
  <si>
    <t>Session Type</t>
  </si>
  <si>
    <t>Discipline</t>
  </si>
  <si>
    <t>Planned (km)</t>
  </si>
  <si>
    <t>Planned Pace/Effort</t>
  </si>
  <si>
    <t>Planned Focus</t>
  </si>
  <si>
    <t>Workout</t>
  </si>
  <si>
    <t>Completed (Y/N)</t>
  </si>
  <si>
    <t>Actual (km)</t>
  </si>
  <si>
    <t>Actual Duration (h:mm:ss)</t>
  </si>
  <si>
    <t>Actual Pace (mm:ss/km)</t>
  </si>
  <si>
    <t>RPE (1-10)</t>
  </si>
  <si>
    <t>Felt</t>
  </si>
  <si>
    <t>Notes</t>
  </si>
  <si>
    <t>Base building</t>
  </si>
  <si>
    <t>No</t>
  </si>
  <si>
    <t>Wednesday</t>
  </si>
  <si>
    <t>Gym</t>
  </si>
  <si>
    <t>Push (chest)</t>
  </si>
  <si>
    <t>-</t>
  </si>
  <si>
    <t>Push day A + easy shakeout run</t>
  </si>
  <si>
    <t>Y</t>
  </si>
  <si>
    <t>NA</t>
  </si>
  <si>
    <t>Great</t>
  </si>
  <si>
    <t>Run</t>
  </si>
  <si>
    <t>Easy</t>
  </si>
  <si>
    <t>First easy run of the plan - conversational pace, walk breaks welcome</t>
  </si>
  <si>
    <t>Easy run</t>
  </si>
  <si>
    <t>0:24:00</t>
  </si>
  <si>
    <t>Thursday</t>
  </si>
  <si>
    <t>Easy effort, focus on consistent light footstrike</t>
  </si>
  <si>
    <t>Good</t>
  </si>
  <si>
    <t>Paired with shoulder training</t>
  </si>
  <si>
    <t>Friday</t>
  </si>
  <si>
    <t>Baseline Time Trial</t>
  </si>
  <si>
    <t>Max effort (5K)</t>
  </si>
  <si>
    <t>Baseline 5K time trial - run at a hard, sustainable effort. Result calibrates all pace zones on the Overview sheet</t>
  </si>
  <si>
    <t>Baseline 5K time trial</t>
  </si>
  <si>
    <t>0:23:20</t>
  </si>
  <si>
    <t>Pull (back)</t>
  </si>
  <si>
    <t>Pull day A + time trial</t>
  </si>
  <si>
    <t>N</t>
  </si>
  <si>
    <t>Saturday</t>
  </si>
  <si>
    <t>Long run</t>
  </si>
  <si>
    <t>First long run - run/walk is fine, just build time on feet</t>
  </si>
  <si>
    <t>Long run - easy</t>
  </si>
  <si>
    <t>4:00:00</t>
  </si>
  <si>
    <t>Walked while playing Golf</t>
  </si>
  <si>
    <t>Sunday</t>
  </si>
  <si>
    <t>Rest</t>
  </si>
  <si>
    <t>Full rest</t>
  </si>
  <si>
    <t>Recovery after Saturday's long run</t>
  </si>
  <si>
    <t>Monday</t>
  </si>
  <si>
    <t>Legs</t>
  </si>
  <si>
    <t>Legs day + easy run</t>
  </si>
  <si>
    <t>Easy/conversational pace</t>
  </si>
  <si>
    <t>Replaced by football game</t>
  </si>
  <si>
    <t>Tuesday</t>
  </si>
  <si>
    <t>Tempo</t>
  </si>
  <si>
    <t>Continuous tempo block within the session, building duration through the phase</t>
  </si>
  <si>
    <t>12-min tempo</t>
  </si>
  <si>
    <t>Pull day + easy run</t>
  </si>
  <si>
    <t>Medium-long</t>
  </si>
  <si>
    <t>Steady</t>
  </si>
  <si>
    <t>Medium-long / steady run</t>
  </si>
  <si>
    <t>Medium-long - steady</t>
  </si>
  <si>
    <t>Push day</t>
  </si>
  <si>
    <t>Long run - mostly easy effort, this is about time on feet and aerobic endurance</t>
  </si>
  <si>
    <t>Intervals</t>
  </si>
  <si>
    <t>Repeats (e.g. 400-1000m) with equal-time jog recovery, building reps through the phase</t>
  </si>
  <si>
    <t>6 x 400 m</t>
  </si>
  <si>
    <t>15-min tempo</t>
  </si>
  <si>
    <t>Yes</t>
  </si>
  <si>
    <t>Recovery after Saturday's long run - deload week, prioritize sleep/nutrition</t>
  </si>
  <si>
    <t>Deload week - shorten reps/tempo block by ~25%, same structure</t>
  </si>
  <si>
    <t>5 x 400 m (deload)</t>
  </si>
  <si>
    <t>Medium-long / steady run - deload, keep it comfortably easy</t>
  </si>
  <si>
    <t>Long run - mostly easy effort, this is about time on feet and aerobic endurance - deload week</t>
  </si>
  <si>
    <t>18-min tempo</t>
  </si>
  <si>
    <t>6 x 500 m</t>
  </si>
  <si>
    <t>Aerobic build</t>
  </si>
  <si>
    <t>2 x 10-min tempo</t>
  </si>
  <si>
    <t>Medium-long (MP finish)</t>
  </si>
  <si>
    <t>Steady + MP finish</t>
  </si>
  <si>
    <t>Medium-long run with the last 2-3km at marathon-pace effort</t>
  </si>
  <si>
    <t>Medium-long + MP finish</t>
  </si>
  <si>
    <t>Push day + easy run</t>
  </si>
  <si>
    <t>5 x 800 m</t>
  </si>
  <si>
    <t>18-min tempo (deload)</t>
  </si>
  <si>
    <t>Medium-long run with the last 2-3km at marathon-pace effort - deload, keep it comfortably easy</t>
  </si>
  <si>
    <t>6 x 600 m</t>
  </si>
  <si>
    <t>25-min tempo</t>
  </si>
  <si>
    <t>Easy - protect the legs, half-marathon time trial is Saturday</t>
  </si>
  <si>
    <t>Half-marathon time trial</t>
  </si>
  <si>
    <t>Hard/race effort</t>
  </si>
  <si>
    <t>Run this as a genuine half-marathon effort - result recalibrates marathon goal pace (HM time x ~2.11)</t>
  </si>
  <si>
    <t>Peak</t>
  </si>
  <si>
    <t>2 x 10-min tempo (deload)</t>
  </si>
  <si>
    <t>Easy + MP segments</t>
  </si>
  <si>
    <t>Long run with marathon-pace segments in the back half (see plan notes) - deload week</t>
  </si>
  <si>
    <t>Long run + MP segments</t>
  </si>
  <si>
    <t>10 x 2 min</t>
  </si>
  <si>
    <t>Long run with marathon-pace segments in the back half (see plan notes)</t>
  </si>
  <si>
    <t>3 x 8-min cruise</t>
  </si>
  <si>
    <t>5 x 1 km</t>
  </si>
  <si>
    <t>3 x 10-min tempo</t>
  </si>
  <si>
    <t>Taper</t>
  </si>
  <si>
    <t>6 x 2 min (sharpener)</t>
  </si>
  <si>
    <t>15-min tempo (sharpener)</t>
  </si>
  <si>
    <t>Very light mobility only - no lifting, race is Saturday</t>
  </si>
  <si>
    <t>Short and easy, legs should feel fresh, not tired</t>
  </si>
  <si>
    <t>Shakeout + strides</t>
  </si>
  <si>
    <t>Easy + strides</t>
  </si>
  <si>
    <t>Short shakeout jog with 4x20s relaxed strides - keep legs turning over, nothing hard</t>
  </si>
  <si>
    <t>Full rest - no gym, no running, 3 days out from race</t>
  </si>
  <si>
    <t>Full rest - no gym, no running, 2 days out from race</t>
  </si>
  <si>
    <t>Pre-race shakeout</t>
  </si>
  <si>
    <t>Very short easy jog with a few strides, lay out race kit, early night</t>
  </si>
  <si>
    <t>Race</t>
  </si>
  <si>
    <t>ABU DHABI MARATHON</t>
  </si>
  <si>
    <t>Goal: sub-4:00 (~5:41/km)</t>
  </si>
  <si>
    <t>RACE DAY - trust the taper, start conservative, negative-split if it's going well</t>
  </si>
  <si>
    <t>Marathon - race day</t>
  </si>
  <si>
    <t>Abu Dhabi Marathon 2026 — Training Plan</t>
  </si>
  <si>
    <t>Abu Dhabi Marathon</t>
  </si>
  <si>
    <t>Race date</t>
  </si>
  <si>
    <t>Training start</t>
  </si>
  <si>
    <t>Goal</t>
  </si>
  <si>
    <t>PRIMARY: finish healthy (first marathon). Current time goal: sub-3:50 (~5:27/km). Ceiling if fitness clearly supports it: 3:30 — never faster. Next goal review: after Wk13 HM time trial (17 Oct).</t>
  </si>
  <si>
    <t>Today</t>
  </si>
  <si>
    <t>Days to race</t>
  </si>
  <si>
    <t>Weeks to race</t>
  </si>
  <si>
    <t>Pace zones (CALIBRATED after Wk1 5K time trial 24 Jul 2026: 5 km in 23:20 @ 4:40/km, RPE 7. Conservative interpretation. Recheck at the Wk13 half-marathon time trial on Sat 17 Oct.)</t>
  </si>
  <si>
    <t>Zone</t>
  </si>
  <si>
    <t>Pace (min/km)</t>
  </si>
  <si>
    <t>6:10 - 6:40</t>
  </si>
  <si>
    <t>Conversational effort, most easy runs and long-run pace</t>
  </si>
  <si>
    <t>Marathon pace (MP)</t>
  </si>
  <si>
    <t>5:23 - 5:30</t>
  </si>
  <si>
    <t>Goal race pace</t>
  </si>
  <si>
    <t>5:05 - 5:20</t>
  </si>
  <si>
    <t>Sustained "comfortably hard" effort</t>
  </si>
  <si>
    <t>4:30 - 4:45</t>
  </si>
  <si>
    <t>Repeats, with jog recovery between</t>
  </si>
  <si>
    <t>Phases</t>
  </si>
  <si>
    <t>Weeks</t>
  </si>
  <si>
    <t>Dates</t>
  </si>
  <si>
    <t>Focus</t>
  </si>
  <si>
    <t>1-7</t>
  </si>
  <si>
    <t>22 Jul - 5 Sep</t>
  </si>
  <si>
    <t>Establish running habit + gym routine, keep football</t>
  </si>
  <si>
    <t>8-13</t>
  </si>
  <si>
    <t>6 Sep - 17 Oct</t>
  </si>
  <si>
    <t>Add tempo/MP segments; Wk13 half-marathon time trial</t>
  </si>
  <si>
    <t>14-18</t>
  </si>
  <si>
    <t>18 Oct - 21 Nov</t>
  </si>
  <si>
    <t>Highest volume, MP-specific long runs, intervals</t>
  </si>
  <si>
    <t>19-21</t>
  </si>
  <si>
    <t>22 Nov - 12 Dec</t>
  </si>
  <si>
    <t>Volume down, stay sharp, RACE 12 Dec</t>
  </si>
  <si>
    <t>Deload weeks: 5, 10, 14 (volume cut ~20-25%). Checkpoints: Wk1 baseline 5K, Wk13 half-marathon time trial.</t>
  </si>
  <si>
    <t>Yellow cells are yours to edit (pace zones as you calibrate them). Everything else on this sheet is a formula or fixed reference.</t>
  </si>
  <si>
    <t>Workout Library</t>
  </si>
  <si>
    <t>Named, spelled-out sessions referenced by the 'Workout' column on the Weekly Plan. All paces are in min/km, CALIBRATED to the Wk1 5K baseline (24 Jul 2026: 4:40/km, RPE 7) with a conservative interpretation. MP band shifted to the sub-3:50 goal (5:27/km). Recheck after the Wk13 half-marathon time trial.</t>
  </si>
  <si>
    <t>Type</t>
  </si>
  <si>
    <t>Warm-up</t>
  </si>
  <si>
    <t>Main set</t>
  </si>
  <si>
    <t>Cool-down</t>
  </si>
  <si>
    <t>Target pace (min/km)</t>
  </si>
  <si>
    <t>Approx. km</t>
  </si>
  <si>
    <t>EASY / STEADY / LONG (aerobic base - reference by distance on the plan)</t>
  </si>
  <si>
    <t>Whole run at easy, conversational effort. Nose-breathing pace; walk breaks are fine.</t>
  </si>
  <si>
    <t>6:10-6:40</t>
  </si>
  <si>
    <t>per plan</t>
  </si>
  <si>
    <t>Most Mon/Wed/Thu runs. Effort, not pace, is the target.</t>
  </si>
  <si>
    <t>1 km easy</t>
  </si>
  <si>
    <t>Steady aerobic running - a touch faster than easy but still comfortable.</t>
  </si>
  <si>
    <t>included</t>
  </si>
  <si>
    <t>5:50-6:10</t>
  </si>
  <si>
    <t>Friday medium-long runs in the Base phase.</t>
  </si>
  <si>
    <t>Steady + MP</t>
  </si>
  <si>
    <t>1-2 km easy</t>
  </si>
  <si>
    <t>Steady, then finish the last 3-4 km at marathon pace.</t>
  </si>
  <si>
    <t>0.5 km easy</t>
  </si>
  <si>
    <t>steady 5:50-6:10, MP 5:23-5:30</t>
  </si>
  <si>
    <t>Friday runs from Wk8 on. Teaches goal pace on tired-ish legs.</t>
  </si>
  <si>
    <t>Long</t>
  </si>
  <si>
    <t>Continuous easy running, all about time on feet and aerobic endurance.</t>
  </si>
  <si>
    <t>6:15-6:45</t>
  </si>
  <si>
    <t>Base-phase long runs (Wk1-12). Fuel and hydrate on anything over ~90 min.</t>
  </si>
  <si>
    <t>Long + MP</t>
  </si>
  <si>
    <t>3-4 km easy</t>
  </si>
  <si>
    <t>Easy, with 2-4 blocks of 3-5 km at marathon pace spread through the run; easy between.</t>
  </si>
  <si>
    <t>easy 6:15-6:45, MP 5:23-5:30</t>
  </si>
  <si>
    <t>Peak-phase long runs (Wk14-20). The key marathon-specific sessions.</t>
  </si>
  <si>
    <t>TEMPO (sustained 'comfortably hard' - Tuesday quality)</t>
  </si>
  <si>
    <t>1.5 km easy</t>
  </si>
  <si>
    <t>12 min continuous @ tempo.</t>
  </si>
  <si>
    <t>1.9 km easy</t>
  </si>
  <si>
    <t>tempo ~5:10</t>
  </si>
  <si>
    <t>Wk2. First tempo - err on the easier side of the range.</t>
  </si>
  <si>
    <t>15 min continuous @ tempo.</t>
  </si>
  <si>
    <t>1.4 km easy</t>
  </si>
  <si>
    <t>Wk4.</t>
  </si>
  <si>
    <t>1.3 km easy</t>
  </si>
  <si>
    <t>18 min continuous @ tempo.</t>
  </si>
  <si>
    <t>1.0 km easy</t>
  </si>
  <si>
    <t>Wk6.</t>
  </si>
  <si>
    <t>Tempo (broken)</t>
  </si>
  <si>
    <t>2 x 10 min @ tempo, 2 min easy jog between.</t>
  </si>
  <si>
    <t>tempo ~5:10, jog 6:10-6:40</t>
  </si>
  <si>
    <t>Wk8. Breaking it up lets you hold slightly better quality.</t>
  </si>
  <si>
    <t>18 min continuous @ easy end of tempo.</t>
  </si>
  <si>
    <t>0.8 km easy</t>
  </si>
  <si>
    <t>tempo 5:20-5:25</t>
  </si>
  <si>
    <t>Wk10 deload - hold back ~25%.</t>
  </si>
  <si>
    <t>1.2 km easy</t>
  </si>
  <si>
    <t>25 min continuous @ tempo.</t>
  </si>
  <si>
    <t>0.9 km easy</t>
  </si>
  <si>
    <t>Wk12. Longest continuous tempo of the build.</t>
  </si>
  <si>
    <t>2 x 10 min @ easy-tempo, 2 min jog between.</t>
  </si>
  <si>
    <t>Wk14 deload - keep it controlled.</t>
  </si>
  <si>
    <t>Tempo/MP</t>
  </si>
  <si>
    <t>2.0 km easy</t>
  </si>
  <si>
    <t>3 x 8 min @ marathon-to-tempo pace, 90 s jog between.</t>
  </si>
  <si>
    <t>5:23-5:32 (MP-tempo)</t>
  </si>
  <si>
    <t>Wk16. Bridges tempo and marathon pace.</t>
  </si>
  <si>
    <t>3 x 10 min @ tempo, 2 min jog between.</t>
  </si>
  <si>
    <t>Wk18. Biggest tempo volume of the plan.</t>
  </si>
  <si>
    <t>15 min @ tempo to stay sharp.</t>
  </si>
  <si>
    <t>Wk20 taper - short and crisp, do not overreach.</t>
  </si>
  <si>
    <t>INTERVALS (faster reps with jog recovery - Tuesday quality)</t>
  </si>
  <si>
    <t>1.5 km easy + 3 strides</t>
  </si>
  <si>
    <t>6 x 400 m fast, 200 m (~90 s) easy jog between.</t>
  </si>
  <si>
    <t>reps 4:30-4:40, jog 6:10-6:40</t>
  </si>
  <si>
    <t>Wk3. Short and snappy; stay smooth, not sprinting.</t>
  </si>
  <si>
    <t>1.2 km easy + 2 strides</t>
  </si>
  <si>
    <t>5 x 400 m controlled, 200 m easy jog between.</t>
  </si>
  <si>
    <t>reps 4:35-4:45</t>
  </si>
  <si>
    <t>Wk5 deload - fewer reps, controlled effort.</t>
  </si>
  <si>
    <t>1.2 km easy + 3 strides</t>
  </si>
  <si>
    <t>6 x 500 m, 200 m easy jog between.</t>
  </si>
  <si>
    <t>Wk7.</t>
  </si>
  <si>
    <t>5 x 800 m, 2 min easy jog between.</t>
  </si>
  <si>
    <t>reps 4:40-4:50</t>
  </si>
  <si>
    <t>Wk9. Longer reps - settle into a rhythm.</t>
  </si>
  <si>
    <t>6 x 600 m, 200 m easy jog between.</t>
  </si>
  <si>
    <t>Wk11.</t>
  </si>
  <si>
    <t>Intervals (VO2)</t>
  </si>
  <si>
    <t>2.0 km easy + 3 strides</t>
  </si>
  <si>
    <t>10 x 2 min hard, 2 min easy jog between.</t>
  </si>
  <si>
    <t>reps 4:30-4:45</t>
  </si>
  <si>
    <t>Wk15. Classic VO2 session - by feel this is ~5K effort.</t>
  </si>
  <si>
    <t>5 x 1 km, 2 min easy jog between.</t>
  </si>
  <si>
    <t>reps 4:45-4:55</t>
  </si>
  <si>
    <t>Wk17. Strength/speed endurance.</t>
  </si>
  <si>
    <t>1.5 km easy + 2 strides</t>
  </si>
  <si>
    <t>6 x 2 min quick, 2 min easy jog between.</t>
  </si>
  <si>
    <t>Wk19 taper - keep legs sharp, cut it if flat.</t>
  </si>
  <si>
    <t>TIME TRIALS, STRIDES &amp; RACE</t>
  </si>
  <si>
    <t>Time trial</t>
  </si>
  <si>
    <t>1.5 km easy + 4 strides</t>
  </si>
  <si>
    <t>5 km at a hard, even, sustainable effort - record the time.</t>
  </si>
  <si>
    <t>max sustainable 5K effort</t>
  </si>
  <si>
    <t>Wk1 (Fri 24 Jul). Result CALIBRATES every pace zone on Overview.</t>
  </si>
  <si>
    <t>21.1 km at hard/goal effort - your fitness checkpoint.</t>
  </si>
  <si>
    <t>walk / very easy</t>
  </si>
  <si>
    <t>~5:23-5:32 target (sub-3:50 pace check)</t>
  </si>
  <si>
    <t>Wk13 (Sat 17 Oct). Recomputes goal marathon pace (HM x ~2.11).</t>
  </si>
  <si>
    <t>Shakeout</t>
  </si>
  <si>
    <t>Very easy jog + 4 x 20 s relaxed strides. Keep the legs turning over.</t>
  </si>
  <si>
    <t>easy 6:10-6:40, strides relaxed</t>
  </si>
  <si>
    <t>Wk21 (Tue). Nothing hard - just movement.</t>
  </si>
  <si>
    <t>Very short easy jog + 2-3 short strides. Lay out kit, early night.</t>
  </si>
  <si>
    <t>easy 6:10-6:40</t>
  </si>
  <si>
    <t>Wk21 (Fri, day before race).</t>
  </si>
  <si>
    <t>arrive early, light jog + strides</t>
  </si>
  <si>
    <t>42.2 km. Start conservative (~5:30-5:33), settle, negative-split if it is going well.</t>
  </si>
  <si>
    <t>walk, refuel</t>
  </si>
  <si>
    <t>goal ~5:27 (sub-3:50)</t>
  </si>
  <si>
    <t>Wk21 (Sat 12 Dec). Trust the taper. Fuel every ~40 min.</t>
  </si>
  <si>
    <t>Planned Sessions</t>
  </si>
  <si>
    <t>Completed Sessions</t>
  </si>
  <si>
    <t>Avg RPE</t>
  </si>
  <si>
    <t>Adherence</t>
  </si>
  <si>
    <t>Planned/Completed exclude Rest rows. Adherence = Completed / Planned sessions for the week.</t>
  </si>
  <si>
    <t>Week(s) affected</t>
  </si>
  <si>
    <t>Change made</t>
  </si>
  <si>
    <t>Reason</t>
  </si>
  <si>
    <t>Changed by</t>
  </si>
  <si>
    <t>All (1-21)</t>
  </si>
  <si>
    <t>Initial 21-week plan created</t>
  </si>
  <si>
    <t>Baseline plan for sub-4:00 goal: 6 training days/week, 1 rest, gym 3x/week (Legs/Push/Pull), Sun-Sat weeks with long run on Saturday</t>
  </si>
  <si>
    <t>Claude (initial build)</t>
  </si>
  <si>
    <t>Restructured gym day placement: Wed=Pull (was Push), Thu=Medium-long run (was Pull gym), Fri=Push (was Medium-long). Wk1: swapped Push/Pull only (Wed=Pull, Thu=Push) since Fri is baseline TT.</t>
  </si>
  <si>
    <t>Push and Pull were back-to-back (Wed/Thu) with no upper-body recovery. New spacing gives Push and Pull a full day apart. Push now sits closest to Saturday long run (least disruptive to running); Pull is furthest. Legs unchanged (Mon).</t>
  </si>
  <si>
    <t>Ricardo (via Claude)</t>
  </si>
  <si>
    <t>The adapt-training-plan skill logs an entry here every time it adjusts an upcoming week. Add your own rows too if you tweak things manually.</t>
  </si>
  <si>
    <t>Wk2-Wk21 (all unlogged weeks)</t>
  </si>
  <si>
    <t>Recalibrated Overview pace zones (Easy 6:00-6:30, Tempo 5:00-5:15, Intervals 4:25-4:40; MP unchanged) and refreshed all Workouts sheet target paces.</t>
  </si>
  <si>
    <t>Wk1 baseline 5K time trial: 5 km in 23:20 @ 4:40/km, RPE 6, felt Good. VDOT ~44 implies sub-4:00 is comfortably in reach; kept MP anchored to stated goal per user instruction.</t>
  </si>
  <si>
    <t>Claude (skill)</t>
  </si>
  <si>
    <t>Overview + Wk2-Wk21 (all unlogged weeks)</t>
  </si>
  <si>
    <t>RPE on baseline 5K corrected to 7. Pace zones re-eased slightly (Easy 6:10-6:40, Tempo 5:05-5:20, Intervals 4:30-4:45). Goal nudged sub-4:00 → sub-3:55 (5:34/km); MP band shifted to 5:30-5:40. Workouts sheet + race-day target updated to match.</t>
  </si>
  <si>
    <t>User adjusted baseline RPE 6→7 (harder than first logged), so 4:40/km reflects closer to real fitness — pulled paces back a notch from the aggressive VDOT read. User asked for a small, conservative goal move now with re-evaluation at Wk15 (post-Wk13 HM time trial).</t>
  </si>
  <si>
    <t>Overview (framing only, no pace changes)</t>
  </si>
  <si>
    <t>Reframed goal cell: primary objective is FINISH HEALTHY (first marathon); current time goal sub-3:55; hard ceiling 3:30; next goal review after Wk13 HM time trial.</t>
  </si>
  <si>
    <t>User clarified priorities — this is his first marathon, injury-free finish comes before time. Recorded in project memory so every future adaptation biases conservative by default.</t>
  </si>
  <si>
    <t>Overview + Workouts (MP band only)</t>
  </si>
  <si>
    <t>Goal shifted sub-3:55 → sub-3:50 (5:27/km). MP band on Overview C15 → 5:23-5:30. MP references in Workouts (medium-long+MP, long+MP, 3x8 cruise, HM target, race day) updated. Easy/Tempo/Intervals unchanged (fitness-calibrated, not goal-calibrated).</t>
  </si>
  <si>
    <t>User set the goal at 3:50 and closed the discussion. Primary objective (finish healthy) and ceiling (3:30) unchanged.</t>
  </si>
  <si>
    <t>1:30:00</t>
  </si>
  <si>
    <t>Tired</t>
  </si>
  <si>
    <t>0:33:00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</si>
</sst>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d\,\ dd\ mmm\ yyyy"/>
    <numFmt numFmtId="165" formatCode="ddd\ dd\-mmm\-yy"/>
    <numFmt numFmtId="166" formatCode="0.0"/>
    <numFmt numFmtId="167" formatCode="dd\-mmm\-yy"/>
    <numFmt numFmtId="168" formatCode="yyyy\-mm\-dd\ h:mm:ss"/>
    <numFmt numFmtId="169" formatCode="yyyy\-mm\-dd"/>
  </numFmts>
  <fonts count="15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i/>
      <sz val="9"/>
      <color rgb="FF7F7F7F"/>
      <name val="Arial"/>
      <family val="2"/>
    </font>
    <font>
      <i/>
      <sz val="9"/>
      <name val="Arial"/>
      <family val="2"/>
    </font>
    <font>
      <i/>
      <sz val="10"/>
      <color rgb="FF7F7F7F"/>
      <name val="Arial"/>
      <family val="2"/>
    </font>
    <font>
      <b/>
      <sz val="13"/>
      <color rgb="FF1F3864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99"/>
      </patternFill>
    </fill>
    <fill>
      <patternFill patternType="solid">
        <fgColor rgb="FFDDEBF7"/>
      </patternFill>
    </fill>
    <fill>
      <patternFill patternType="solid">
        <fgColor rgb="FFD6E4B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1F38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" fontId="4" fillId="0" borderId="0" xfId="0" applyNumberFormat="1" applyFont="1"/>
    <xf numFmtId="0" fontId="6" fillId="2" borderId="0" xfId="0" applyFont="1" applyFill="1"/>
    <xf numFmtId="0" fontId="3" fillId="3" borderId="0" xfId="0" applyFont="1" applyFill="1"/>
    <xf numFmtId="0" fontId="5" fillId="0" borderId="0" xfId="0" applyFont="1"/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6" fillId="2" borderId="0" xfId="0" applyFont="1" applyFill="1" applyAlignment="1">
      <alignment vertical="center" wrapText="1"/>
    </xf>
    <xf numFmtId="0" fontId="3" fillId="4" borderId="1" xfId="0" applyFont="1" applyFill="1" applyBorder="1"/>
    <xf numFmtId="165" fontId="3" fillId="4" borderId="1" xfId="0" applyNumberFormat="1" applyFont="1" applyFill="1" applyBorder="1"/>
    <xf numFmtId="0" fontId="3" fillId="3" borderId="1" xfId="0" applyFont="1" applyFill="1" applyBorder="1"/>
    <xf numFmtId="0" fontId="3" fillId="8" borderId="1" xfId="0" applyFont="1" applyFill="1" applyBorder="1"/>
    <xf numFmtId="165" fontId="3" fillId="8" borderId="1" xfId="0" applyNumberFormat="1" applyFont="1" applyFill="1" applyBorder="1"/>
    <xf numFmtId="0" fontId="9" fillId="8" borderId="1" xfId="0" applyFont="1" applyFill="1" applyBorder="1"/>
    <xf numFmtId="165" fontId="9" fillId="8" borderId="1" xfId="0" applyNumberFormat="1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165" fontId="9" fillId="4" borderId="1" xfId="0" applyNumberFormat="1" applyFont="1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0" fontId="9" fillId="5" borderId="1" xfId="0" applyFont="1" applyFill="1" applyBorder="1"/>
    <xf numFmtId="165" fontId="9" fillId="5" borderId="1" xfId="0" applyNumberFormat="1" applyFont="1" applyFill="1" applyBorder="1"/>
    <xf numFmtId="0" fontId="9" fillId="6" borderId="1" xfId="0" applyFont="1" applyFill="1" applyBorder="1"/>
    <xf numFmtId="165" fontId="9" fillId="6" borderId="1" xfId="0" applyNumberFormat="1" applyFont="1" applyFill="1" applyBorder="1"/>
    <xf numFmtId="0" fontId="3" fillId="6" borderId="1" xfId="0" applyFont="1" applyFill="1" applyBorder="1"/>
    <xf numFmtId="165" fontId="3" fillId="6" borderId="1" xfId="0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0" fontId="3" fillId="9" borderId="1" xfId="0" applyFont="1" applyFill="1" applyBorder="1"/>
    <xf numFmtId="165" fontId="3" fillId="9" borderId="1" xfId="0" applyNumberFormat="1" applyFont="1" applyFill="1" applyBorder="1"/>
    <xf numFmtId="166" fontId="3" fillId="0" borderId="0" xfId="0" applyNumberFormat="1" applyFont="1"/>
    <xf numFmtId="9" fontId="3" fillId="0" borderId="0" xfId="0" applyNumberFormat="1" applyFont="1"/>
    <xf numFmtId="167" fontId="3" fillId="0" borderId="0" xfId="0" applyNumberFormat="1" applyFont="1"/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/>
    <xf numFmtId="0" fontId="12" fillId="1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168" fontId="0" fillId="0" borderId="0" xfId="0" applyNumberFormat="1"/>
    <xf numFmtId="20" fontId="3" fillId="3" borderId="1" xfId="0" applyNumberFormat="1" applyFont="1" applyFill="1" applyBorder="1"/>
    <xf numFmtId="49" fontId="6" fillId="2" borderId="0" xfId="0" applyNumberFormat="1" applyFont="1" applyFill="1" applyAlignment="1">
      <alignment vertical="center" wrapText="1"/>
    </xf>
    <xf numFmtId="49" fontId="3" fillId="3" borderId="1" xfId="0" applyNumberFormat="1" applyFont="1" applyFill="1" applyBorder="1"/>
    <xf numFmtId="49" fontId="9" fillId="3" borderId="1" xfId="0" applyNumberFormat="1" applyFont="1" applyFill="1" applyBorder="1"/>
    <xf numFmtId="49" fontId="0" fillId="0" borderId="0" xfId="0" applyNumberFormat="1"/>
    <xf numFmtId="169" fontId="0" fillId="0" borderId="0" xfId="0" applyNumberFormat="1"/>
    <xf numFmtId="0" fontId="1" fillId="0" borderId="0" xfId="0" applyFont="1"/>
    <xf numFmtId="0" fontId="0" fillId="0" borderId="0" xfId="0"/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3" fillId="11" borderId="2" xfId="0" applyFont="1" applyFill="1" applyBorder="1"/>
    <xf numFmtId="0" fontId="0" fillId="0" borderId="3" xfId="0" applyBorder="1"/>
    <xf numFmtId="0" fontId="0" fillId="0" borderId="4" xfId="0" applyBorder="1"/>
    <xf numFmtId="0" fontId="11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showGridLines="0" workbookViewId="0">
      <selection activeCell="C31" sqref="C31"/>
    </sheetView>
  </sheetViews>
  <sheetFormatPr baseColWidth="10" defaultColWidth="8.83203125" defaultRowHeight="15" x14ac:dyDescent="0.2"/>
  <cols>
    <col min="1" max="1" width="2" customWidth="1"/>
    <col min="2" max="2" width="17" bestFit="1" customWidth="1"/>
    <col min="3" max="3" width="32.1640625" bestFit="1" customWidth="1"/>
    <col min="4" max="4" width="45.5" bestFit="1" customWidth="1"/>
    <col min="5" max="5" width="33" bestFit="1" customWidth="1"/>
    <col min="6" max="6" width="10" customWidth="1"/>
  </cols>
  <sheetData>
    <row r="2" spans="2:6" ht="18" customHeight="1" x14ac:dyDescent="0.2">
      <c r="B2" s="51" t="s">
        <v>127</v>
      </c>
      <c r="C2" s="52"/>
      <c r="D2" s="52"/>
      <c r="E2" s="52"/>
      <c r="F2" s="52"/>
    </row>
    <row r="4" spans="2:6" x14ac:dyDescent="0.2">
      <c r="B4" s="1" t="s">
        <v>122</v>
      </c>
      <c r="C4" s="2" t="s">
        <v>128</v>
      </c>
    </row>
    <row r="5" spans="2:6" x14ac:dyDescent="0.2">
      <c r="B5" s="1" t="s">
        <v>129</v>
      </c>
      <c r="C5" s="3">
        <v>46368</v>
      </c>
    </row>
    <row r="6" spans="2:6" x14ac:dyDescent="0.2">
      <c r="B6" s="1" t="s">
        <v>130</v>
      </c>
      <c r="C6" s="3">
        <v>46225</v>
      </c>
    </row>
    <row r="7" spans="2:6" x14ac:dyDescent="0.2">
      <c r="B7" s="1" t="s">
        <v>131</v>
      </c>
      <c r="C7" s="2" t="s">
        <v>132</v>
      </c>
    </row>
    <row r="8" spans="2:6" x14ac:dyDescent="0.2">
      <c r="B8" s="1" t="s">
        <v>133</v>
      </c>
      <c r="C8" s="3">
        <f ca="1">TODAY()</f>
        <v>46232</v>
      </c>
    </row>
    <row r="9" spans="2:6" ht="16" customHeight="1" x14ac:dyDescent="0.2">
      <c r="B9" s="1" t="s">
        <v>134</v>
      </c>
      <c r="C9" s="4">
        <f ca="1">C5-C8</f>
        <v>136</v>
      </c>
    </row>
    <row r="10" spans="2:6" x14ac:dyDescent="0.2">
      <c r="B10" s="1" t="s">
        <v>135</v>
      </c>
      <c r="C10" s="2">
        <f ca="1">ROUNDUP(C9/7,0)</f>
        <v>20</v>
      </c>
    </row>
    <row r="12" spans="2:6" x14ac:dyDescent="0.2">
      <c r="B12" s="53" t="s">
        <v>136</v>
      </c>
      <c r="C12" s="52"/>
      <c r="D12" s="52"/>
      <c r="E12" s="52"/>
      <c r="F12" s="52"/>
    </row>
    <row r="13" spans="2:6" x14ac:dyDescent="0.2">
      <c r="B13" s="5" t="s">
        <v>137</v>
      </c>
      <c r="C13" s="5" t="s">
        <v>138</v>
      </c>
      <c r="D13" s="5" t="s">
        <v>17</v>
      </c>
    </row>
    <row r="14" spans="2:6" x14ac:dyDescent="0.2">
      <c r="B14" s="2" t="s">
        <v>29</v>
      </c>
      <c r="C14" s="6" t="s">
        <v>139</v>
      </c>
      <c r="D14" s="2" t="s">
        <v>140</v>
      </c>
    </row>
    <row r="15" spans="2:6" x14ac:dyDescent="0.2">
      <c r="B15" s="2" t="s">
        <v>141</v>
      </c>
      <c r="C15" s="6" t="s">
        <v>142</v>
      </c>
      <c r="D15" s="2" t="s">
        <v>143</v>
      </c>
    </row>
    <row r="16" spans="2:6" x14ac:dyDescent="0.2">
      <c r="B16" s="2" t="s">
        <v>62</v>
      </c>
      <c r="C16" s="6" t="s">
        <v>144</v>
      </c>
      <c r="D16" s="2" t="s">
        <v>145</v>
      </c>
    </row>
    <row r="17" spans="2:6" x14ac:dyDescent="0.2">
      <c r="B17" s="2" t="s">
        <v>72</v>
      </c>
      <c r="C17" s="6" t="s">
        <v>146</v>
      </c>
      <c r="D17" s="2" t="s">
        <v>147</v>
      </c>
    </row>
    <row r="19" spans="2:6" x14ac:dyDescent="0.2">
      <c r="B19" s="7" t="s">
        <v>148</v>
      </c>
    </row>
    <row r="20" spans="2:6" x14ac:dyDescent="0.2">
      <c r="B20" s="5" t="s">
        <v>1</v>
      </c>
      <c r="C20" s="5" t="s">
        <v>149</v>
      </c>
      <c r="D20" s="5" t="s">
        <v>150</v>
      </c>
      <c r="E20" s="5" t="s">
        <v>151</v>
      </c>
    </row>
    <row r="21" spans="2:6" ht="29" customHeight="1" x14ac:dyDescent="0.2">
      <c r="B21" s="8" t="s">
        <v>18</v>
      </c>
      <c r="C21" s="8" t="s">
        <v>152</v>
      </c>
      <c r="D21" s="8" t="s">
        <v>153</v>
      </c>
      <c r="E21" s="8" t="s">
        <v>154</v>
      </c>
    </row>
    <row r="22" spans="2:6" ht="29" customHeight="1" x14ac:dyDescent="0.2">
      <c r="B22" s="9" t="s">
        <v>84</v>
      </c>
      <c r="C22" s="9" t="s">
        <v>155</v>
      </c>
      <c r="D22" s="9" t="s">
        <v>156</v>
      </c>
      <c r="E22" s="9" t="s">
        <v>157</v>
      </c>
    </row>
    <row r="23" spans="2:6" ht="29" customHeight="1" x14ac:dyDescent="0.2">
      <c r="B23" s="10" t="s">
        <v>100</v>
      </c>
      <c r="C23" s="10" t="s">
        <v>158</v>
      </c>
      <c r="D23" s="10" t="s">
        <v>159</v>
      </c>
      <c r="E23" s="10" t="s">
        <v>160</v>
      </c>
    </row>
    <row r="24" spans="2:6" x14ac:dyDescent="0.2">
      <c r="B24" s="11" t="s">
        <v>110</v>
      </c>
      <c r="C24" s="11" t="s">
        <v>161</v>
      </c>
      <c r="D24" s="11" t="s">
        <v>162</v>
      </c>
      <c r="E24" s="11" t="s">
        <v>163</v>
      </c>
    </row>
    <row r="26" spans="2:6" x14ac:dyDescent="0.2">
      <c r="B26" s="55" t="s">
        <v>164</v>
      </c>
      <c r="C26" s="52"/>
      <c r="D26" s="52"/>
      <c r="E26" s="52"/>
      <c r="F26" s="52"/>
    </row>
    <row r="28" spans="2:6" x14ac:dyDescent="0.2">
      <c r="B28" s="54" t="s">
        <v>165</v>
      </c>
      <c r="C28" s="52"/>
      <c r="D28" s="52"/>
      <c r="E28" s="52"/>
      <c r="F28" s="52"/>
    </row>
  </sheetData>
  <mergeCells count="4">
    <mergeCell ref="B2:F2"/>
    <mergeCell ref="B12:F12"/>
    <mergeCell ref="B28:F2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9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8" customWidth="1"/>
    <col min="4" max="4" width="13.6640625" bestFit="1" customWidth="1"/>
    <col min="5" max="5" width="10" customWidth="1"/>
    <col min="6" max="6" width="11" customWidth="1"/>
    <col min="7" max="7" width="18" customWidth="1"/>
    <col min="8" max="8" width="10" customWidth="1"/>
    <col min="9" max="9" width="14" customWidth="1"/>
    <col min="10" max="10" width="30" customWidth="1"/>
    <col min="11" max="11" width="24" customWidth="1"/>
    <col min="12" max="13" width="12" customWidth="1"/>
    <col min="14" max="14" width="11.6640625" style="49" bestFit="1" customWidth="1"/>
    <col min="15" max="15" width="13.1640625" bestFit="1" customWidth="1"/>
    <col min="16" max="16" width="9" customWidth="1"/>
    <col min="17" max="17" width="24" customWidth="1"/>
  </cols>
  <sheetData>
    <row r="1" spans="1:18" ht="42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46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 x14ac:dyDescent="0.2">
      <c r="A2" s="13">
        <v>1</v>
      </c>
      <c r="B2" s="13" t="s">
        <v>18</v>
      </c>
      <c r="C2" s="13" t="s">
        <v>19</v>
      </c>
      <c r="D2" s="14">
        <v>46225</v>
      </c>
      <c r="E2" s="13" t="s">
        <v>20</v>
      </c>
      <c r="F2" s="13" t="s">
        <v>21</v>
      </c>
      <c r="G2" s="13" t="s">
        <v>22</v>
      </c>
      <c r="H2" s="13"/>
      <c r="I2" s="13" t="s">
        <v>23</v>
      </c>
      <c r="J2" s="13" t="s">
        <v>24</v>
      </c>
      <c r="K2" s="38" t="s">
        <v>23</v>
      </c>
      <c r="L2" s="15" t="s">
        <v>25</v>
      </c>
      <c r="M2" s="15" t="s">
        <v>26</v>
      </c>
      <c r="N2" s="47" t="s">
        <v>26</v>
      </c>
      <c r="O2" s="15" t="s">
        <v>26</v>
      </c>
      <c r="P2" s="15">
        <v>5</v>
      </c>
      <c r="Q2" s="15" t="s">
        <v>27</v>
      </c>
      <c r="R2" s="15"/>
    </row>
    <row r="3" spans="1:18" x14ac:dyDescent="0.2">
      <c r="A3" s="13">
        <v>1</v>
      </c>
      <c r="B3" s="13" t="s">
        <v>18</v>
      </c>
      <c r="C3" s="13" t="s">
        <v>19</v>
      </c>
      <c r="D3" s="14">
        <v>46225</v>
      </c>
      <c r="E3" s="13" t="s">
        <v>20</v>
      </c>
      <c r="F3" s="13" t="s">
        <v>28</v>
      </c>
      <c r="G3" s="13" t="s">
        <v>29</v>
      </c>
      <c r="H3" s="13">
        <v>4</v>
      </c>
      <c r="I3" s="13" t="s">
        <v>29</v>
      </c>
      <c r="J3" s="13" t="s">
        <v>30</v>
      </c>
      <c r="K3" s="38" t="s">
        <v>31</v>
      </c>
      <c r="L3" s="15" t="s">
        <v>25</v>
      </c>
      <c r="M3" s="15">
        <v>4</v>
      </c>
      <c r="N3" s="47" t="s">
        <v>32</v>
      </c>
      <c r="O3" s="45">
        <v>0.25</v>
      </c>
      <c r="P3" s="15">
        <v>4</v>
      </c>
      <c r="Q3" s="15" t="s">
        <v>27</v>
      </c>
      <c r="R3" s="15"/>
    </row>
    <row r="4" spans="1:18" x14ac:dyDescent="0.2">
      <c r="A4" s="13">
        <v>1</v>
      </c>
      <c r="B4" s="13" t="s">
        <v>18</v>
      </c>
      <c r="C4" s="13" t="s">
        <v>19</v>
      </c>
      <c r="D4" s="14">
        <v>46226</v>
      </c>
      <c r="E4" s="13" t="s">
        <v>33</v>
      </c>
      <c r="F4" s="13" t="s">
        <v>28</v>
      </c>
      <c r="G4" s="13" t="s">
        <v>29</v>
      </c>
      <c r="H4" s="13">
        <v>4</v>
      </c>
      <c r="I4" s="13" t="s">
        <v>29</v>
      </c>
      <c r="J4" s="13" t="s">
        <v>34</v>
      </c>
      <c r="K4" s="38" t="s">
        <v>31</v>
      </c>
      <c r="L4" s="15" t="s">
        <v>25</v>
      </c>
      <c r="M4" s="15">
        <v>4</v>
      </c>
      <c r="N4" s="47" t="s">
        <v>32</v>
      </c>
      <c r="O4" s="45">
        <v>0.25</v>
      </c>
      <c r="P4" s="15">
        <v>4</v>
      </c>
      <c r="Q4" s="15" t="s">
        <v>35</v>
      </c>
      <c r="R4" s="15" t="s">
        <v>36</v>
      </c>
    </row>
    <row r="5" spans="1:18" x14ac:dyDescent="0.2">
      <c r="A5" s="13">
        <v>1</v>
      </c>
      <c r="B5" s="13" t="s">
        <v>18</v>
      </c>
      <c r="C5" s="13" t="s">
        <v>19</v>
      </c>
      <c r="D5" s="14">
        <v>46227</v>
      </c>
      <c r="E5" s="13" t="s">
        <v>37</v>
      </c>
      <c r="F5" s="13" t="s">
        <v>28</v>
      </c>
      <c r="G5" s="13" t="s">
        <v>38</v>
      </c>
      <c r="H5" s="13">
        <v>5</v>
      </c>
      <c r="I5" s="13" t="s">
        <v>39</v>
      </c>
      <c r="J5" s="13" t="s">
        <v>40</v>
      </c>
      <c r="K5" s="38" t="s">
        <v>41</v>
      </c>
      <c r="L5" s="15" t="s">
        <v>25</v>
      </c>
      <c r="M5" s="15">
        <v>5</v>
      </c>
      <c r="N5" s="47" t="s">
        <v>42</v>
      </c>
      <c r="O5" s="45">
        <v>3.2407407407407411E-3</v>
      </c>
      <c r="P5" s="15">
        <v>7</v>
      </c>
      <c r="Q5" s="15" t="s">
        <v>35</v>
      </c>
      <c r="R5" s="15"/>
    </row>
    <row r="6" spans="1:18" x14ac:dyDescent="0.2">
      <c r="A6" s="13">
        <v>1</v>
      </c>
      <c r="B6" s="13" t="s">
        <v>18</v>
      </c>
      <c r="C6" s="13" t="s">
        <v>19</v>
      </c>
      <c r="D6" s="14">
        <v>46227</v>
      </c>
      <c r="E6" s="13" t="s">
        <v>37</v>
      </c>
      <c r="F6" s="13" t="s">
        <v>21</v>
      </c>
      <c r="G6" s="13" t="s">
        <v>43</v>
      </c>
      <c r="H6" s="13"/>
      <c r="I6" s="13" t="s">
        <v>23</v>
      </c>
      <c r="J6" s="13" t="s">
        <v>44</v>
      </c>
      <c r="K6" s="38" t="s">
        <v>23</v>
      </c>
      <c r="L6" s="15" t="s">
        <v>45</v>
      </c>
      <c r="M6" s="15"/>
      <c r="N6" s="47"/>
      <c r="O6" s="15"/>
      <c r="P6" s="15"/>
      <c r="Q6" s="15"/>
      <c r="R6" s="15"/>
    </row>
    <row r="7" spans="1:18" x14ac:dyDescent="0.2">
      <c r="A7" s="13">
        <v>1</v>
      </c>
      <c r="B7" s="13" t="s">
        <v>18</v>
      </c>
      <c r="C7" s="13" t="s">
        <v>19</v>
      </c>
      <c r="D7" s="14">
        <v>46228</v>
      </c>
      <c r="E7" s="13" t="s">
        <v>46</v>
      </c>
      <c r="F7" s="13" t="s">
        <v>28</v>
      </c>
      <c r="G7" s="13" t="s">
        <v>47</v>
      </c>
      <c r="H7" s="13">
        <v>8</v>
      </c>
      <c r="I7" s="13" t="s">
        <v>29</v>
      </c>
      <c r="J7" s="13" t="s">
        <v>48</v>
      </c>
      <c r="K7" s="38" t="s">
        <v>49</v>
      </c>
      <c r="L7" s="15" t="s">
        <v>25</v>
      </c>
      <c r="M7" s="15">
        <v>8</v>
      </c>
      <c r="N7" s="47" t="s">
        <v>50</v>
      </c>
      <c r="O7" s="45">
        <v>0.5</v>
      </c>
      <c r="P7" s="15">
        <v>1</v>
      </c>
      <c r="Q7" s="15" t="s">
        <v>35</v>
      </c>
      <c r="R7" s="15" t="s">
        <v>51</v>
      </c>
    </row>
    <row r="8" spans="1:18" x14ac:dyDescent="0.2">
      <c r="A8" s="16">
        <v>2</v>
      </c>
      <c r="B8" s="16" t="s">
        <v>18</v>
      </c>
      <c r="C8" s="16" t="s">
        <v>19</v>
      </c>
      <c r="D8" s="17">
        <v>46229</v>
      </c>
      <c r="E8" s="16" t="s">
        <v>52</v>
      </c>
      <c r="F8" s="16" t="s">
        <v>53</v>
      </c>
      <c r="G8" s="16" t="s">
        <v>54</v>
      </c>
      <c r="H8" s="16"/>
      <c r="I8" s="16" t="s">
        <v>23</v>
      </c>
      <c r="J8" s="16" t="s">
        <v>55</v>
      </c>
      <c r="K8" s="38" t="s">
        <v>23</v>
      </c>
      <c r="L8" s="15" t="s">
        <v>25</v>
      </c>
      <c r="M8" s="15"/>
      <c r="N8" s="47"/>
      <c r="O8" s="15"/>
      <c r="P8" s="15"/>
      <c r="Q8" s="15" t="s">
        <v>27</v>
      </c>
      <c r="R8" s="15"/>
    </row>
    <row r="9" spans="1:18" x14ac:dyDescent="0.2">
      <c r="A9" s="13">
        <v>2</v>
      </c>
      <c r="B9" s="13" t="s">
        <v>18</v>
      </c>
      <c r="C9" s="13" t="s">
        <v>19</v>
      </c>
      <c r="D9" s="14">
        <v>46230</v>
      </c>
      <c r="E9" s="13" t="s">
        <v>56</v>
      </c>
      <c r="F9" s="13" t="s">
        <v>21</v>
      </c>
      <c r="G9" s="13" t="s">
        <v>57</v>
      </c>
      <c r="H9" s="13"/>
      <c r="I9" s="13" t="s">
        <v>23</v>
      </c>
      <c r="J9" s="13" t="s">
        <v>58</v>
      </c>
      <c r="K9" s="38" t="s">
        <v>23</v>
      </c>
      <c r="L9" s="15"/>
      <c r="M9" s="15"/>
      <c r="N9" s="47"/>
      <c r="O9" s="15"/>
      <c r="P9" s="15"/>
      <c r="Q9" s="15"/>
      <c r="R9" s="15"/>
    </row>
    <row r="10" spans="1:18" x14ac:dyDescent="0.2">
      <c r="A10" s="13">
        <v>2</v>
      </c>
      <c r="B10" s="13" t="s">
        <v>18</v>
      </c>
      <c r="C10" s="13" t="s">
        <v>19</v>
      </c>
      <c r="D10" s="14">
        <v>46230</v>
      </c>
      <c r="E10" s="13" t="s">
        <v>56</v>
      </c>
      <c r="F10" s="13" t="s">
        <v>28</v>
      </c>
      <c r="G10" s="13" t="s">
        <v>29</v>
      </c>
      <c r="H10" s="13">
        <v>4.5</v>
      </c>
      <c r="I10" s="13" t="s">
        <v>29</v>
      </c>
      <c r="J10" s="13" t="s">
        <v>59</v>
      </c>
      <c r="K10" s="38" t="s">
        <v>31</v>
      </c>
      <c r="L10" s="15" t="s">
        <v>25</v>
      </c>
      <c r="M10" s="15">
        <v>8</v>
      </c>
      <c r="N10" s="47" t="s">
        <v>315</v>
      </c>
      <c r="O10" s="45">
        <v>0.45833333333333331</v>
      </c>
      <c r="P10" s="15">
        <v>7</v>
      </c>
      <c r="Q10" s="15" t="s">
        <v>316</v>
      </c>
      <c r="R10" s="15" t="s">
        <v>60</v>
      </c>
    </row>
    <row r="11" spans="1:18" x14ac:dyDescent="0.2">
      <c r="A11" s="13">
        <v>2</v>
      </c>
      <c r="B11" s="13" t="s">
        <v>18</v>
      </c>
      <c r="C11" s="13" t="s">
        <v>19</v>
      </c>
      <c r="D11" s="14">
        <v>46231</v>
      </c>
      <c r="E11" s="13" t="s">
        <v>61</v>
      </c>
      <c r="F11" s="13" t="s">
        <v>28</v>
      </c>
      <c r="G11" s="13" t="s">
        <v>62</v>
      </c>
      <c r="H11" s="13">
        <v>5.5</v>
      </c>
      <c r="I11" s="13" t="s">
        <v>62</v>
      </c>
      <c r="J11" s="13" t="s">
        <v>63</v>
      </c>
      <c r="K11" s="38" t="s">
        <v>64</v>
      </c>
      <c r="L11" s="15" t="s">
        <v>25</v>
      </c>
      <c r="M11" s="15">
        <v>6</v>
      </c>
      <c r="N11" s="47" t="s">
        <v>317</v>
      </c>
      <c r="O11" s="45">
        <v>0.22916666666666666</v>
      </c>
      <c r="P11" s="15">
        <v>6</v>
      </c>
      <c r="Q11" s="15" t="s">
        <v>316</v>
      </c>
      <c r="R11" s="15"/>
    </row>
    <row r="12" spans="1:18" x14ac:dyDescent="0.2">
      <c r="A12" s="13">
        <v>2</v>
      </c>
      <c r="B12" s="13" t="s">
        <v>18</v>
      </c>
      <c r="C12" s="13" t="s">
        <v>19</v>
      </c>
      <c r="D12" s="14">
        <v>46232</v>
      </c>
      <c r="E12" s="13" t="s">
        <v>20</v>
      </c>
      <c r="F12" s="13" t="s">
        <v>21</v>
      </c>
      <c r="G12" s="13" t="s">
        <v>43</v>
      </c>
      <c r="H12" s="13"/>
      <c r="I12" s="13" t="s">
        <v>23</v>
      </c>
      <c r="J12" s="13" t="s">
        <v>65</v>
      </c>
      <c r="K12" s="38" t="s">
        <v>23</v>
      </c>
      <c r="L12" s="15"/>
      <c r="M12" s="15"/>
      <c r="N12" s="47"/>
      <c r="O12" s="15"/>
      <c r="P12" s="15"/>
      <c r="Q12" s="15"/>
      <c r="R12" s="15"/>
    </row>
    <row r="13" spans="1:18" x14ac:dyDescent="0.2">
      <c r="A13" s="13">
        <v>2</v>
      </c>
      <c r="B13" s="13" t="s">
        <v>18</v>
      </c>
      <c r="C13" s="13" t="s">
        <v>19</v>
      </c>
      <c r="D13" s="14">
        <v>46232</v>
      </c>
      <c r="E13" s="13" t="s">
        <v>20</v>
      </c>
      <c r="F13" s="13" t="s">
        <v>28</v>
      </c>
      <c r="G13" s="13" t="s">
        <v>29</v>
      </c>
      <c r="H13" s="13">
        <v>4.5</v>
      </c>
      <c r="I13" s="13" t="s">
        <v>29</v>
      </c>
      <c r="J13" s="13" t="s">
        <v>59</v>
      </c>
      <c r="K13" s="38" t="s">
        <v>31</v>
      </c>
      <c r="L13" s="15"/>
      <c r="M13" s="15"/>
      <c r="N13" s="47"/>
      <c r="O13" s="15"/>
      <c r="P13" s="15"/>
      <c r="Q13" s="15"/>
      <c r="R13" s="15"/>
    </row>
    <row r="14" spans="1:18" x14ac:dyDescent="0.2">
      <c r="A14" s="13">
        <v>2</v>
      </c>
      <c r="B14" s="13" t="s">
        <v>18</v>
      </c>
      <c r="C14" s="13" t="s">
        <v>19</v>
      </c>
      <c r="D14" s="14">
        <v>46233</v>
      </c>
      <c r="E14" s="13" t="s">
        <v>33</v>
      </c>
      <c r="F14" s="13" t="s">
        <v>28</v>
      </c>
      <c r="G14" s="13" t="s">
        <v>66</v>
      </c>
      <c r="H14" s="13">
        <v>5</v>
      </c>
      <c r="I14" s="13" t="s">
        <v>67</v>
      </c>
      <c r="J14" s="13" t="s">
        <v>68</v>
      </c>
      <c r="K14" s="38" t="s">
        <v>69</v>
      </c>
      <c r="L14" s="15"/>
      <c r="M14" s="15"/>
      <c r="N14" s="47"/>
      <c r="O14" s="15"/>
      <c r="P14" s="15"/>
      <c r="Q14" s="15"/>
      <c r="R14" s="15"/>
    </row>
    <row r="15" spans="1:18" x14ac:dyDescent="0.2">
      <c r="A15" s="13">
        <v>2</v>
      </c>
      <c r="B15" s="13" t="s">
        <v>18</v>
      </c>
      <c r="C15" s="13" t="s">
        <v>19</v>
      </c>
      <c r="D15" s="14">
        <v>46234</v>
      </c>
      <c r="E15" s="13" t="s">
        <v>37</v>
      </c>
      <c r="F15" s="13" t="s">
        <v>21</v>
      </c>
      <c r="G15" s="13" t="s">
        <v>22</v>
      </c>
      <c r="H15" s="13"/>
      <c r="I15" s="13" t="s">
        <v>23</v>
      </c>
      <c r="J15" s="13" t="s">
        <v>70</v>
      </c>
      <c r="K15" s="38" t="s">
        <v>23</v>
      </c>
      <c r="L15" s="15"/>
      <c r="M15" s="15"/>
      <c r="N15" s="47"/>
      <c r="O15" s="15"/>
      <c r="P15" s="15"/>
      <c r="Q15" s="15"/>
      <c r="R15" s="15"/>
    </row>
    <row r="16" spans="1:18" x14ac:dyDescent="0.2">
      <c r="A16" s="13">
        <v>2</v>
      </c>
      <c r="B16" s="13" t="s">
        <v>18</v>
      </c>
      <c r="C16" s="13" t="s">
        <v>19</v>
      </c>
      <c r="D16" s="14">
        <v>46235</v>
      </c>
      <c r="E16" s="13" t="s">
        <v>46</v>
      </c>
      <c r="F16" s="13" t="s">
        <v>28</v>
      </c>
      <c r="G16" s="13" t="s">
        <v>47</v>
      </c>
      <c r="H16" s="13">
        <v>10</v>
      </c>
      <c r="I16" s="13" t="s">
        <v>29</v>
      </c>
      <c r="J16" s="13" t="s">
        <v>71</v>
      </c>
      <c r="K16" s="38" t="s">
        <v>49</v>
      </c>
      <c r="L16" s="15"/>
      <c r="M16" s="15"/>
      <c r="N16" s="47"/>
      <c r="O16" s="15"/>
      <c r="P16" s="15"/>
      <c r="Q16" s="15"/>
      <c r="R16" s="15"/>
    </row>
    <row r="17" spans="1:18" x14ac:dyDescent="0.2">
      <c r="A17" s="16">
        <v>3</v>
      </c>
      <c r="B17" s="16" t="s">
        <v>18</v>
      </c>
      <c r="C17" s="16" t="s">
        <v>19</v>
      </c>
      <c r="D17" s="17">
        <v>46236</v>
      </c>
      <c r="E17" s="16" t="s">
        <v>52</v>
      </c>
      <c r="F17" s="16" t="s">
        <v>53</v>
      </c>
      <c r="G17" s="16" t="s">
        <v>54</v>
      </c>
      <c r="H17" s="16"/>
      <c r="I17" s="16" t="s">
        <v>23</v>
      </c>
      <c r="J17" s="16" t="s">
        <v>55</v>
      </c>
      <c r="K17" s="38" t="s">
        <v>23</v>
      </c>
      <c r="L17" s="15"/>
      <c r="M17" s="15"/>
      <c r="N17" s="47"/>
      <c r="O17" s="15"/>
      <c r="P17" s="15"/>
      <c r="Q17" s="15"/>
      <c r="R17" s="15"/>
    </row>
    <row r="18" spans="1:18" x14ac:dyDescent="0.2">
      <c r="A18" s="13">
        <v>3</v>
      </c>
      <c r="B18" s="13" t="s">
        <v>18</v>
      </c>
      <c r="C18" s="13" t="s">
        <v>19</v>
      </c>
      <c r="D18" s="14">
        <v>46237</v>
      </c>
      <c r="E18" s="13" t="s">
        <v>56</v>
      </c>
      <c r="F18" s="13" t="s">
        <v>21</v>
      </c>
      <c r="G18" s="13" t="s">
        <v>57</v>
      </c>
      <c r="H18" s="13"/>
      <c r="I18" s="13" t="s">
        <v>23</v>
      </c>
      <c r="J18" s="13" t="s">
        <v>58</v>
      </c>
      <c r="K18" s="38" t="s">
        <v>23</v>
      </c>
      <c r="L18" s="15"/>
      <c r="M18" s="15"/>
      <c r="N18" s="47"/>
      <c r="O18" s="15"/>
      <c r="P18" s="15"/>
      <c r="Q18" s="15"/>
      <c r="R18" s="15"/>
    </row>
    <row r="19" spans="1:18" x14ac:dyDescent="0.2">
      <c r="A19" s="13">
        <v>3</v>
      </c>
      <c r="B19" s="13" t="s">
        <v>18</v>
      </c>
      <c r="C19" s="13" t="s">
        <v>19</v>
      </c>
      <c r="D19" s="14">
        <v>46237</v>
      </c>
      <c r="E19" s="13" t="s">
        <v>56</v>
      </c>
      <c r="F19" s="13" t="s">
        <v>28</v>
      </c>
      <c r="G19" s="13" t="s">
        <v>29</v>
      </c>
      <c r="H19" s="13">
        <v>4.5</v>
      </c>
      <c r="I19" s="13" t="s">
        <v>29</v>
      </c>
      <c r="J19" s="13" t="s">
        <v>59</v>
      </c>
      <c r="K19" s="38" t="s">
        <v>31</v>
      </c>
      <c r="L19" s="15"/>
      <c r="M19" s="15"/>
      <c r="N19" s="47"/>
      <c r="O19" s="15"/>
      <c r="P19" s="15"/>
      <c r="Q19" s="15"/>
      <c r="R19" s="15"/>
    </row>
    <row r="20" spans="1:18" x14ac:dyDescent="0.2">
      <c r="A20" s="13">
        <v>3</v>
      </c>
      <c r="B20" s="13" t="s">
        <v>18</v>
      </c>
      <c r="C20" s="13" t="s">
        <v>19</v>
      </c>
      <c r="D20" s="14">
        <v>46238</v>
      </c>
      <c r="E20" s="13" t="s">
        <v>61</v>
      </c>
      <c r="F20" s="13" t="s">
        <v>28</v>
      </c>
      <c r="G20" s="13" t="s">
        <v>72</v>
      </c>
      <c r="H20" s="13">
        <v>5.5</v>
      </c>
      <c r="I20" s="13" t="s">
        <v>72</v>
      </c>
      <c r="J20" s="13" t="s">
        <v>73</v>
      </c>
      <c r="K20" s="38" t="s">
        <v>74</v>
      </c>
      <c r="L20" s="15"/>
      <c r="M20" s="15"/>
      <c r="N20" s="47"/>
      <c r="O20" s="15"/>
      <c r="P20" s="15"/>
      <c r="Q20" s="15"/>
      <c r="R20" s="15"/>
    </row>
    <row r="21" spans="1:18" x14ac:dyDescent="0.2">
      <c r="A21" s="13">
        <v>3</v>
      </c>
      <c r="B21" s="13" t="s">
        <v>18</v>
      </c>
      <c r="C21" s="13" t="s">
        <v>19</v>
      </c>
      <c r="D21" s="14">
        <v>46239</v>
      </c>
      <c r="E21" s="13" t="s">
        <v>20</v>
      </c>
      <c r="F21" s="13" t="s">
        <v>21</v>
      </c>
      <c r="G21" s="13" t="s">
        <v>43</v>
      </c>
      <c r="H21" s="13"/>
      <c r="I21" s="13" t="s">
        <v>23</v>
      </c>
      <c r="J21" s="13" t="s">
        <v>65</v>
      </c>
      <c r="K21" s="38" t="s">
        <v>23</v>
      </c>
      <c r="L21" s="15"/>
      <c r="M21" s="15"/>
      <c r="N21" s="47"/>
      <c r="O21" s="15"/>
      <c r="P21" s="15"/>
      <c r="Q21" s="15"/>
      <c r="R21" s="15"/>
    </row>
    <row r="22" spans="1:18" x14ac:dyDescent="0.2">
      <c r="A22" s="13">
        <v>3</v>
      </c>
      <c r="B22" s="13" t="s">
        <v>18</v>
      </c>
      <c r="C22" s="13" t="s">
        <v>19</v>
      </c>
      <c r="D22" s="14">
        <v>46239</v>
      </c>
      <c r="E22" s="13" t="s">
        <v>20</v>
      </c>
      <c r="F22" s="13" t="s">
        <v>28</v>
      </c>
      <c r="G22" s="13" t="s">
        <v>29</v>
      </c>
      <c r="H22" s="13">
        <v>4.5</v>
      </c>
      <c r="I22" s="13" t="s">
        <v>29</v>
      </c>
      <c r="J22" s="13" t="s">
        <v>59</v>
      </c>
      <c r="K22" s="38" t="s">
        <v>31</v>
      </c>
      <c r="L22" s="15"/>
      <c r="M22" s="15"/>
      <c r="N22" s="47"/>
      <c r="O22" s="15"/>
      <c r="P22" s="15"/>
      <c r="Q22" s="15"/>
      <c r="R22" s="15"/>
    </row>
    <row r="23" spans="1:18" x14ac:dyDescent="0.2">
      <c r="A23" s="13">
        <v>3</v>
      </c>
      <c r="B23" s="13" t="s">
        <v>18</v>
      </c>
      <c r="C23" s="13" t="s">
        <v>19</v>
      </c>
      <c r="D23" s="14">
        <v>46240</v>
      </c>
      <c r="E23" s="13" t="s">
        <v>33</v>
      </c>
      <c r="F23" s="13" t="s">
        <v>28</v>
      </c>
      <c r="G23" s="13" t="s">
        <v>66</v>
      </c>
      <c r="H23" s="13">
        <v>6</v>
      </c>
      <c r="I23" s="13" t="s">
        <v>67</v>
      </c>
      <c r="J23" s="13" t="s">
        <v>68</v>
      </c>
      <c r="K23" s="38" t="s">
        <v>69</v>
      </c>
      <c r="L23" s="15"/>
      <c r="M23" s="15"/>
      <c r="N23" s="47"/>
      <c r="O23" s="15"/>
      <c r="P23" s="15"/>
      <c r="Q23" s="15"/>
      <c r="R23" s="15"/>
    </row>
    <row r="24" spans="1:18" x14ac:dyDescent="0.2">
      <c r="A24" s="13">
        <v>3</v>
      </c>
      <c r="B24" s="13" t="s">
        <v>18</v>
      </c>
      <c r="C24" s="13" t="s">
        <v>19</v>
      </c>
      <c r="D24" s="14">
        <v>46241</v>
      </c>
      <c r="E24" s="13" t="s">
        <v>37</v>
      </c>
      <c r="F24" s="13" t="s">
        <v>21</v>
      </c>
      <c r="G24" s="13" t="s">
        <v>22</v>
      </c>
      <c r="H24" s="13"/>
      <c r="I24" s="13" t="s">
        <v>23</v>
      </c>
      <c r="J24" s="13" t="s">
        <v>70</v>
      </c>
      <c r="K24" s="38" t="s">
        <v>23</v>
      </c>
      <c r="L24" s="15"/>
      <c r="M24" s="15"/>
      <c r="N24" s="47"/>
      <c r="O24" s="15"/>
      <c r="P24" s="15"/>
      <c r="Q24" s="15"/>
      <c r="R24" s="15"/>
    </row>
    <row r="25" spans="1:18" x14ac:dyDescent="0.2">
      <c r="A25" s="13">
        <v>3</v>
      </c>
      <c r="B25" s="13" t="s">
        <v>18</v>
      </c>
      <c r="C25" s="13" t="s">
        <v>19</v>
      </c>
      <c r="D25" s="14">
        <v>46242</v>
      </c>
      <c r="E25" s="13" t="s">
        <v>46</v>
      </c>
      <c r="F25" s="13" t="s">
        <v>28</v>
      </c>
      <c r="G25" s="13" t="s">
        <v>47</v>
      </c>
      <c r="H25" s="13">
        <v>12</v>
      </c>
      <c r="I25" s="13" t="s">
        <v>29</v>
      </c>
      <c r="J25" s="13" t="s">
        <v>71</v>
      </c>
      <c r="K25" s="38" t="s">
        <v>49</v>
      </c>
      <c r="L25" s="15"/>
      <c r="M25" s="15"/>
      <c r="N25" s="47"/>
      <c r="O25" s="15"/>
      <c r="P25" s="15"/>
      <c r="Q25" s="15"/>
      <c r="R25" s="15"/>
    </row>
    <row r="26" spans="1:18" x14ac:dyDescent="0.2">
      <c r="A26" s="16">
        <v>4</v>
      </c>
      <c r="B26" s="16" t="s">
        <v>18</v>
      </c>
      <c r="C26" s="16" t="s">
        <v>19</v>
      </c>
      <c r="D26" s="17">
        <v>46243</v>
      </c>
      <c r="E26" s="16" t="s">
        <v>52</v>
      </c>
      <c r="F26" s="16" t="s">
        <v>53</v>
      </c>
      <c r="G26" s="16" t="s">
        <v>54</v>
      </c>
      <c r="H26" s="16"/>
      <c r="I26" s="16" t="s">
        <v>23</v>
      </c>
      <c r="J26" s="16" t="s">
        <v>55</v>
      </c>
      <c r="K26" s="38" t="s">
        <v>23</v>
      </c>
      <c r="L26" s="15"/>
      <c r="M26" s="15"/>
      <c r="N26" s="47"/>
      <c r="O26" s="15"/>
      <c r="P26" s="15"/>
      <c r="Q26" s="15"/>
      <c r="R26" s="15"/>
    </row>
    <row r="27" spans="1:18" x14ac:dyDescent="0.2">
      <c r="A27" s="13">
        <v>4</v>
      </c>
      <c r="B27" s="13" t="s">
        <v>18</v>
      </c>
      <c r="C27" s="13" t="s">
        <v>19</v>
      </c>
      <c r="D27" s="14">
        <v>46244</v>
      </c>
      <c r="E27" s="13" t="s">
        <v>56</v>
      </c>
      <c r="F27" s="13" t="s">
        <v>21</v>
      </c>
      <c r="G27" s="13" t="s">
        <v>57</v>
      </c>
      <c r="H27" s="13"/>
      <c r="I27" s="13" t="s">
        <v>23</v>
      </c>
      <c r="J27" s="13" t="s">
        <v>58</v>
      </c>
      <c r="K27" s="38" t="s">
        <v>23</v>
      </c>
      <c r="L27" s="15"/>
      <c r="M27" s="15"/>
      <c r="N27" s="47"/>
      <c r="O27" s="15"/>
      <c r="P27" s="15"/>
      <c r="Q27" s="15"/>
      <c r="R27" s="15"/>
    </row>
    <row r="28" spans="1:18" x14ac:dyDescent="0.2">
      <c r="A28" s="13">
        <v>4</v>
      </c>
      <c r="B28" s="13" t="s">
        <v>18</v>
      </c>
      <c r="C28" s="13" t="s">
        <v>19</v>
      </c>
      <c r="D28" s="14">
        <v>46244</v>
      </c>
      <c r="E28" s="13" t="s">
        <v>56</v>
      </c>
      <c r="F28" s="13" t="s">
        <v>28</v>
      </c>
      <c r="G28" s="13" t="s">
        <v>29</v>
      </c>
      <c r="H28" s="13">
        <v>4.5</v>
      </c>
      <c r="I28" s="13" t="s">
        <v>29</v>
      </c>
      <c r="J28" s="13" t="s">
        <v>59</v>
      </c>
      <c r="K28" s="38" t="s">
        <v>31</v>
      </c>
      <c r="L28" s="15"/>
      <c r="M28" s="15"/>
      <c r="N28" s="47"/>
      <c r="O28" s="15"/>
      <c r="P28" s="15"/>
      <c r="Q28" s="15"/>
      <c r="R28" s="15"/>
    </row>
    <row r="29" spans="1:18" x14ac:dyDescent="0.2">
      <c r="A29" s="13">
        <v>4</v>
      </c>
      <c r="B29" s="13" t="s">
        <v>18</v>
      </c>
      <c r="C29" s="13" t="s">
        <v>19</v>
      </c>
      <c r="D29" s="14">
        <v>46245</v>
      </c>
      <c r="E29" s="13" t="s">
        <v>61</v>
      </c>
      <c r="F29" s="13" t="s">
        <v>28</v>
      </c>
      <c r="G29" s="13" t="s">
        <v>62</v>
      </c>
      <c r="H29" s="13">
        <v>5.5</v>
      </c>
      <c r="I29" s="13" t="s">
        <v>62</v>
      </c>
      <c r="J29" s="13" t="s">
        <v>63</v>
      </c>
      <c r="K29" s="38" t="s">
        <v>75</v>
      </c>
      <c r="L29" s="15"/>
      <c r="M29" s="15"/>
      <c r="N29" s="47"/>
      <c r="O29" s="15"/>
      <c r="P29" s="15"/>
      <c r="Q29" s="15"/>
      <c r="R29" s="15"/>
    </row>
    <row r="30" spans="1:18" x14ac:dyDescent="0.2">
      <c r="A30" s="13">
        <v>4</v>
      </c>
      <c r="B30" s="13" t="s">
        <v>18</v>
      </c>
      <c r="C30" s="13" t="s">
        <v>19</v>
      </c>
      <c r="D30" s="14">
        <v>46246</v>
      </c>
      <c r="E30" s="13" t="s">
        <v>20</v>
      </c>
      <c r="F30" s="13" t="s">
        <v>21</v>
      </c>
      <c r="G30" s="13" t="s">
        <v>43</v>
      </c>
      <c r="H30" s="13"/>
      <c r="I30" s="13" t="s">
        <v>23</v>
      </c>
      <c r="J30" s="13" t="s">
        <v>65</v>
      </c>
      <c r="K30" s="38" t="s">
        <v>23</v>
      </c>
      <c r="L30" s="15"/>
      <c r="M30" s="15"/>
      <c r="N30" s="47"/>
      <c r="O30" s="15"/>
      <c r="P30" s="15"/>
      <c r="Q30" s="15"/>
      <c r="R30" s="15"/>
    </row>
    <row r="31" spans="1:18" x14ac:dyDescent="0.2">
      <c r="A31" s="13">
        <v>4</v>
      </c>
      <c r="B31" s="13" t="s">
        <v>18</v>
      </c>
      <c r="C31" s="13" t="s">
        <v>19</v>
      </c>
      <c r="D31" s="14">
        <v>46246</v>
      </c>
      <c r="E31" s="13" t="s">
        <v>20</v>
      </c>
      <c r="F31" s="13" t="s">
        <v>28</v>
      </c>
      <c r="G31" s="13" t="s">
        <v>29</v>
      </c>
      <c r="H31" s="13">
        <v>4.5</v>
      </c>
      <c r="I31" s="13" t="s">
        <v>29</v>
      </c>
      <c r="J31" s="13" t="s">
        <v>59</v>
      </c>
      <c r="K31" s="38" t="s">
        <v>31</v>
      </c>
      <c r="L31" s="15"/>
      <c r="M31" s="15"/>
      <c r="N31" s="47"/>
      <c r="O31" s="15"/>
      <c r="P31" s="15"/>
      <c r="Q31" s="15"/>
      <c r="R31" s="15"/>
    </row>
    <row r="32" spans="1:18" x14ac:dyDescent="0.2">
      <c r="A32" s="13">
        <v>4</v>
      </c>
      <c r="B32" s="13" t="s">
        <v>18</v>
      </c>
      <c r="C32" s="13" t="s">
        <v>19</v>
      </c>
      <c r="D32" s="14">
        <v>46247</v>
      </c>
      <c r="E32" s="13" t="s">
        <v>33</v>
      </c>
      <c r="F32" s="13" t="s">
        <v>28</v>
      </c>
      <c r="G32" s="13" t="s">
        <v>66</v>
      </c>
      <c r="H32" s="13">
        <v>6</v>
      </c>
      <c r="I32" s="13" t="s">
        <v>67</v>
      </c>
      <c r="J32" s="13" t="s">
        <v>68</v>
      </c>
      <c r="K32" s="38" t="s">
        <v>69</v>
      </c>
      <c r="L32" s="15"/>
      <c r="M32" s="15"/>
      <c r="N32" s="47"/>
      <c r="O32" s="15"/>
      <c r="P32" s="15"/>
      <c r="Q32" s="15"/>
      <c r="R32" s="15"/>
    </row>
    <row r="33" spans="1:18" x14ac:dyDescent="0.2">
      <c r="A33" s="13">
        <v>4</v>
      </c>
      <c r="B33" s="13" t="s">
        <v>18</v>
      </c>
      <c r="C33" s="13" t="s">
        <v>19</v>
      </c>
      <c r="D33" s="14">
        <v>46248</v>
      </c>
      <c r="E33" s="13" t="s">
        <v>37</v>
      </c>
      <c r="F33" s="13" t="s">
        <v>21</v>
      </c>
      <c r="G33" s="13" t="s">
        <v>22</v>
      </c>
      <c r="H33" s="13"/>
      <c r="I33" s="13" t="s">
        <v>23</v>
      </c>
      <c r="J33" s="13" t="s">
        <v>70</v>
      </c>
      <c r="K33" s="38" t="s">
        <v>23</v>
      </c>
      <c r="L33" s="15"/>
      <c r="M33" s="15"/>
      <c r="N33" s="47"/>
      <c r="O33" s="15"/>
      <c r="P33" s="15"/>
      <c r="Q33" s="15"/>
      <c r="R33" s="15"/>
    </row>
    <row r="34" spans="1:18" x14ac:dyDescent="0.2">
      <c r="A34" s="13">
        <v>4</v>
      </c>
      <c r="B34" s="13" t="s">
        <v>18</v>
      </c>
      <c r="C34" s="13" t="s">
        <v>19</v>
      </c>
      <c r="D34" s="14">
        <v>46249</v>
      </c>
      <c r="E34" s="13" t="s">
        <v>46</v>
      </c>
      <c r="F34" s="13" t="s">
        <v>28</v>
      </c>
      <c r="G34" s="13" t="s">
        <v>47</v>
      </c>
      <c r="H34" s="13">
        <v>14</v>
      </c>
      <c r="I34" s="13" t="s">
        <v>29</v>
      </c>
      <c r="J34" s="13" t="s">
        <v>71</v>
      </c>
      <c r="K34" s="38" t="s">
        <v>49</v>
      </c>
      <c r="L34" s="15"/>
      <c r="M34" s="15"/>
      <c r="N34" s="47"/>
      <c r="O34" s="15"/>
      <c r="P34" s="15"/>
      <c r="Q34" s="15"/>
      <c r="R34" s="15"/>
    </row>
    <row r="35" spans="1:18" x14ac:dyDescent="0.2">
      <c r="A35" s="18">
        <v>5</v>
      </c>
      <c r="B35" s="18" t="s">
        <v>18</v>
      </c>
      <c r="C35" s="18" t="s">
        <v>76</v>
      </c>
      <c r="D35" s="19">
        <v>46250</v>
      </c>
      <c r="E35" s="18" t="s">
        <v>52</v>
      </c>
      <c r="F35" s="18" t="s">
        <v>53</v>
      </c>
      <c r="G35" s="18" t="s">
        <v>54</v>
      </c>
      <c r="H35" s="18"/>
      <c r="I35" s="18" t="s">
        <v>23</v>
      </c>
      <c r="J35" s="18" t="s">
        <v>77</v>
      </c>
      <c r="K35" s="39" t="s">
        <v>23</v>
      </c>
      <c r="L35" s="20"/>
      <c r="M35" s="20"/>
      <c r="N35" s="48"/>
      <c r="O35" s="20"/>
      <c r="P35" s="20"/>
      <c r="Q35" s="20"/>
      <c r="R35" s="20"/>
    </row>
    <row r="36" spans="1:18" x14ac:dyDescent="0.2">
      <c r="A36" s="21">
        <v>5</v>
      </c>
      <c r="B36" s="21" t="s">
        <v>18</v>
      </c>
      <c r="C36" s="21" t="s">
        <v>76</v>
      </c>
      <c r="D36" s="22">
        <v>46251</v>
      </c>
      <c r="E36" s="21" t="s">
        <v>56</v>
      </c>
      <c r="F36" s="21" t="s">
        <v>21</v>
      </c>
      <c r="G36" s="21" t="s">
        <v>57</v>
      </c>
      <c r="H36" s="21"/>
      <c r="I36" s="21" t="s">
        <v>23</v>
      </c>
      <c r="J36" s="21" t="s">
        <v>58</v>
      </c>
      <c r="K36" s="39" t="s">
        <v>23</v>
      </c>
      <c r="L36" s="20"/>
      <c r="M36" s="20"/>
      <c r="N36" s="48"/>
      <c r="O36" s="20"/>
      <c r="P36" s="20"/>
      <c r="Q36" s="20"/>
      <c r="R36" s="20"/>
    </row>
    <row r="37" spans="1:18" x14ac:dyDescent="0.2">
      <c r="A37" s="21">
        <v>5</v>
      </c>
      <c r="B37" s="21" t="s">
        <v>18</v>
      </c>
      <c r="C37" s="21" t="s">
        <v>76</v>
      </c>
      <c r="D37" s="22">
        <v>46251</v>
      </c>
      <c r="E37" s="21" t="s">
        <v>56</v>
      </c>
      <c r="F37" s="21" t="s">
        <v>28</v>
      </c>
      <c r="G37" s="21" t="s">
        <v>29</v>
      </c>
      <c r="H37" s="21">
        <v>3.5</v>
      </c>
      <c r="I37" s="21" t="s">
        <v>29</v>
      </c>
      <c r="J37" s="21" t="s">
        <v>59</v>
      </c>
      <c r="K37" s="39" t="s">
        <v>31</v>
      </c>
      <c r="L37" s="20"/>
      <c r="M37" s="20"/>
      <c r="N37" s="48"/>
      <c r="O37" s="20"/>
      <c r="P37" s="20"/>
      <c r="Q37" s="20"/>
      <c r="R37" s="20"/>
    </row>
    <row r="38" spans="1:18" x14ac:dyDescent="0.2">
      <c r="A38" s="21">
        <v>5</v>
      </c>
      <c r="B38" s="21" t="s">
        <v>18</v>
      </c>
      <c r="C38" s="21" t="s">
        <v>76</v>
      </c>
      <c r="D38" s="22">
        <v>46252</v>
      </c>
      <c r="E38" s="21" t="s">
        <v>61</v>
      </c>
      <c r="F38" s="21" t="s">
        <v>28</v>
      </c>
      <c r="G38" s="21" t="s">
        <v>72</v>
      </c>
      <c r="H38" s="21">
        <v>4.5</v>
      </c>
      <c r="I38" s="21" t="s">
        <v>72</v>
      </c>
      <c r="J38" s="21" t="s">
        <v>78</v>
      </c>
      <c r="K38" s="39" t="s">
        <v>79</v>
      </c>
      <c r="L38" s="20"/>
      <c r="M38" s="20"/>
      <c r="N38" s="48"/>
      <c r="O38" s="20"/>
      <c r="P38" s="20"/>
      <c r="Q38" s="20"/>
      <c r="R38" s="20"/>
    </row>
    <row r="39" spans="1:18" x14ac:dyDescent="0.2">
      <c r="A39" s="21">
        <v>5</v>
      </c>
      <c r="B39" s="21" t="s">
        <v>18</v>
      </c>
      <c r="C39" s="21" t="s">
        <v>76</v>
      </c>
      <c r="D39" s="22">
        <v>46253</v>
      </c>
      <c r="E39" s="21" t="s">
        <v>20</v>
      </c>
      <c r="F39" s="21" t="s">
        <v>21</v>
      </c>
      <c r="G39" s="21" t="s">
        <v>43</v>
      </c>
      <c r="H39" s="21"/>
      <c r="I39" s="21" t="s">
        <v>23</v>
      </c>
      <c r="J39" s="21" t="s">
        <v>65</v>
      </c>
      <c r="K39" s="39" t="s">
        <v>23</v>
      </c>
      <c r="L39" s="20"/>
      <c r="M39" s="20"/>
      <c r="N39" s="48"/>
      <c r="O39" s="20"/>
      <c r="P39" s="20"/>
      <c r="Q39" s="20"/>
      <c r="R39" s="20"/>
    </row>
    <row r="40" spans="1:18" x14ac:dyDescent="0.2">
      <c r="A40" s="21">
        <v>5</v>
      </c>
      <c r="B40" s="21" t="s">
        <v>18</v>
      </c>
      <c r="C40" s="21" t="s">
        <v>76</v>
      </c>
      <c r="D40" s="22">
        <v>46253</v>
      </c>
      <c r="E40" s="21" t="s">
        <v>20</v>
      </c>
      <c r="F40" s="21" t="s">
        <v>28</v>
      </c>
      <c r="G40" s="21" t="s">
        <v>29</v>
      </c>
      <c r="H40" s="21">
        <v>3.5</v>
      </c>
      <c r="I40" s="21" t="s">
        <v>29</v>
      </c>
      <c r="J40" s="21" t="s">
        <v>59</v>
      </c>
      <c r="K40" s="39" t="s">
        <v>31</v>
      </c>
      <c r="L40" s="20"/>
      <c r="M40" s="20"/>
      <c r="N40" s="48"/>
      <c r="O40" s="20"/>
      <c r="P40" s="20"/>
      <c r="Q40" s="20"/>
      <c r="R40" s="20"/>
    </row>
    <row r="41" spans="1:18" x14ac:dyDescent="0.2">
      <c r="A41" s="21">
        <v>5</v>
      </c>
      <c r="B41" s="21" t="s">
        <v>18</v>
      </c>
      <c r="C41" s="21" t="s">
        <v>76</v>
      </c>
      <c r="D41" s="22">
        <v>46254</v>
      </c>
      <c r="E41" s="21" t="s">
        <v>33</v>
      </c>
      <c r="F41" s="21" t="s">
        <v>28</v>
      </c>
      <c r="G41" s="21" t="s">
        <v>66</v>
      </c>
      <c r="H41" s="21">
        <v>5</v>
      </c>
      <c r="I41" s="21" t="s">
        <v>67</v>
      </c>
      <c r="J41" s="21" t="s">
        <v>80</v>
      </c>
      <c r="K41" s="39" t="s">
        <v>69</v>
      </c>
      <c r="L41" s="20"/>
      <c r="M41" s="20"/>
      <c r="N41" s="48"/>
      <c r="O41" s="20"/>
      <c r="P41" s="20"/>
      <c r="Q41" s="20"/>
      <c r="R41" s="20"/>
    </row>
    <row r="42" spans="1:18" x14ac:dyDescent="0.2">
      <c r="A42" s="21">
        <v>5</v>
      </c>
      <c r="B42" s="21" t="s">
        <v>18</v>
      </c>
      <c r="C42" s="21" t="s">
        <v>76</v>
      </c>
      <c r="D42" s="22">
        <v>46255</v>
      </c>
      <c r="E42" s="21" t="s">
        <v>37</v>
      </c>
      <c r="F42" s="21" t="s">
        <v>21</v>
      </c>
      <c r="G42" s="21" t="s">
        <v>22</v>
      </c>
      <c r="H42" s="21"/>
      <c r="I42" s="21" t="s">
        <v>23</v>
      </c>
      <c r="J42" s="21" t="s">
        <v>70</v>
      </c>
      <c r="K42" s="39" t="s">
        <v>23</v>
      </c>
      <c r="L42" s="20"/>
      <c r="M42" s="20"/>
      <c r="N42" s="48"/>
      <c r="O42" s="20"/>
      <c r="P42" s="20"/>
      <c r="Q42" s="20"/>
      <c r="R42" s="20"/>
    </row>
    <row r="43" spans="1:18" x14ac:dyDescent="0.2">
      <c r="A43" s="21">
        <v>5</v>
      </c>
      <c r="B43" s="21" t="s">
        <v>18</v>
      </c>
      <c r="C43" s="21" t="s">
        <v>76</v>
      </c>
      <c r="D43" s="22">
        <v>46256</v>
      </c>
      <c r="E43" s="21" t="s">
        <v>46</v>
      </c>
      <c r="F43" s="21" t="s">
        <v>28</v>
      </c>
      <c r="G43" s="21" t="s">
        <v>47</v>
      </c>
      <c r="H43" s="21">
        <v>11</v>
      </c>
      <c r="I43" s="21" t="s">
        <v>29</v>
      </c>
      <c r="J43" s="21" t="s">
        <v>81</v>
      </c>
      <c r="K43" s="39" t="s">
        <v>49</v>
      </c>
      <c r="L43" s="20"/>
      <c r="M43" s="20"/>
      <c r="N43" s="48"/>
      <c r="O43" s="20"/>
      <c r="P43" s="20"/>
      <c r="Q43" s="20"/>
      <c r="R43" s="20"/>
    </row>
    <row r="44" spans="1:18" x14ac:dyDescent="0.2">
      <c r="A44" s="16">
        <v>6</v>
      </c>
      <c r="B44" s="16" t="s">
        <v>18</v>
      </c>
      <c r="C44" s="16" t="s">
        <v>19</v>
      </c>
      <c r="D44" s="17">
        <v>46257</v>
      </c>
      <c r="E44" s="16" t="s">
        <v>52</v>
      </c>
      <c r="F44" s="16" t="s">
        <v>53</v>
      </c>
      <c r="G44" s="16" t="s">
        <v>54</v>
      </c>
      <c r="H44" s="16"/>
      <c r="I44" s="16" t="s">
        <v>23</v>
      </c>
      <c r="J44" s="16" t="s">
        <v>55</v>
      </c>
      <c r="K44" s="38" t="s">
        <v>23</v>
      </c>
      <c r="L44" s="15"/>
      <c r="M44" s="15"/>
      <c r="N44" s="47"/>
      <c r="O44" s="15"/>
      <c r="P44" s="15"/>
      <c r="Q44" s="15"/>
      <c r="R44" s="15"/>
    </row>
    <row r="45" spans="1:18" x14ac:dyDescent="0.2">
      <c r="A45" s="13">
        <v>6</v>
      </c>
      <c r="B45" s="13" t="s">
        <v>18</v>
      </c>
      <c r="C45" s="13" t="s">
        <v>19</v>
      </c>
      <c r="D45" s="14">
        <v>46258</v>
      </c>
      <c r="E45" s="13" t="s">
        <v>56</v>
      </c>
      <c r="F45" s="13" t="s">
        <v>21</v>
      </c>
      <c r="G45" s="13" t="s">
        <v>57</v>
      </c>
      <c r="H45" s="13"/>
      <c r="I45" s="13" t="s">
        <v>23</v>
      </c>
      <c r="J45" s="13" t="s">
        <v>58</v>
      </c>
      <c r="K45" s="38" t="s">
        <v>23</v>
      </c>
      <c r="L45" s="15"/>
      <c r="M45" s="15"/>
      <c r="N45" s="47"/>
      <c r="O45" s="15"/>
      <c r="P45" s="15"/>
      <c r="Q45" s="15"/>
      <c r="R45" s="15"/>
    </row>
    <row r="46" spans="1:18" x14ac:dyDescent="0.2">
      <c r="A46" s="13">
        <v>6</v>
      </c>
      <c r="B46" s="13" t="s">
        <v>18</v>
      </c>
      <c r="C46" s="13" t="s">
        <v>19</v>
      </c>
      <c r="D46" s="14">
        <v>46258</v>
      </c>
      <c r="E46" s="13" t="s">
        <v>56</v>
      </c>
      <c r="F46" s="13" t="s">
        <v>28</v>
      </c>
      <c r="G46" s="13" t="s">
        <v>29</v>
      </c>
      <c r="H46" s="13">
        <v>4.5</v>
      </c>
      <c r="I46" s="13" t="s">
        <v>29</v>
      </c>
      <c r="J46" s="13" t="s">
        <v>59</v>
      </c>
      <c r="K46" s="38" t="s">
        <v>31</v>
      </c>
      <c r="L46" s="15"/>
      <c r="M46" s="15"/>
      <c r="N46" s="47"/>
      <c r="O46" s="15"/>
      <c r="P46" s="15"/>
      <c r="Q46" s="15"/>
      <c r="R46" s="15"/>
    </row>
    <row r="47" spans="1:18" x14ac:dyDescent="0.2">
      <c r="A47" s="13">
        <v>6</v>
      </c>
      <c r="B47" s="13" t="s">
        <v>18</v>
      </c>
      <c r="C47" s="13" t="s">
        <v>19</v>
      </c>
      <c r="D47" s="14">
        <v>46259</v>
      </c>
      <c r="E47" s="13" t="s">
        <v>61</v>
      </c>
      <c r="F47" s="13" t="s">
        <v>28</v>
      </c>
      <c r="G47" s="13" t="s">
        <v>62</v>
      </c>
      <c r="H47" s="13">
        <v>5.5</v>
      </c>
      <c r="I47" s="13" t="s">
        <v>62</v>
      </c>
      <c r="J47" s="13" t="s">
        <v>63</v>
      </c>
      <c r="K47" s="38" t="s">
        <v>82</v>
      </c>
      <c r="L47" s="15"/>
      <c r="M47" s="15"/>
      <c r="N47" s="47"/>
      <c r="O47" s="15"/>
      <c r="P47" s="15"/>
      <c r="Q47" s="15"/>
      <c r="R47" s="15"/>
    </row>
    <row r="48" spans="1:18" x14ac:dyDescent="0.2">
      <c r="A48" s="13">
        <v>6</v>
      </c>
      <c r="B48" s="13" t="s">
        <v>18</v>
      </c>
      <c r="C48" s="13" t="s">
        <v>19</v>
      </c>
      <c r="D48" s="14">
        <v>46260</v>
      </c>
      <c r="E48" s="13" t="s">
        <v>20</v>
      </c>
      <c r="F48" s="13" t="s">
        <v>21</v>
      </c>
      <c r="G48" s="13" t="s">
        <v>43</v>
      </c>
      <c r="H48" s="13"/>
      <c r="I48" s="13" t="s">
        <v>23</v>
      </c>
      <c r="J48" s="13" t="s">
        <v>65</v>
      </c>
      <c r="K48" s="38" t="s">
        <v>23</v>
      </c>
      <c r="L48" s="15"/>
      <c r="M48" s="15"/>
      <c r="N48" s="47"/>
      <c r="O48" s="15"/>
      <c r="P48" s="15"/>
      <c r="Q48" s="15"/>
      <c r="R48" s="15"/>
    </row>
    <row r="49" spans="1:18" x14ac:dyDescent="0.2">
      <c r="A49" s="13">
        <v>6</v>
      </c>
      <c r="B49" s="13" t="s">
        <v>18</v>
      </c>
      <c r="C49" s="13" t="s">
        <v>19</v>
      </c>
      <c r="D49" s="14">
        <v>46260</v>
      </c>
      <c r="E49" s="13" t="s">
        <v>20</v>
      </c>
      <c r="F49" s="13" t="s">
        <v>28</v>
      </c>
      <c r="G49" s="13" t="s">
        <v>29</v>
      </c>
      <c r="H49" s="13">
        <v>4.5</v>
      </c>
      <c r="I49" s="13" t="s">
        <v>29</v>
      </c>
      <c r="J49" s="13" t="s">
        <v>59</v>
      </c>
      <c r="K49" s="38" t="s">
        <v>31</v>
      </c>
      <c r="L49" s="15"/>
      <c r="M49" s="15"/>
      <c r="N49" s="47"/>
      <c r="O49" s="15"/>
      <c r="P49" s="15"/>
      <c r="Q49" s="15"/>
      <c r="R49" s="15"/>
    </row>
    <row r="50" spans="1:18" x14ac:dyDescent="0.2">
      <c r="A50" s="13">
        <v>6</v>
      </c>
      <c r="B50" s="13" t="s">
        <v>18</v>
      </c>
      <c r="C50" s="13" t="s">
        <v>19</v>
      </c>
      <c r="D50" s="14">
        <v>46261</v>
      </c>
      <c r="E50" s="13" t="s">
        <v>33</v>
      </c>
      <c r="F50" s="13" t="s">
        <v>28</v>
      </c>
      <c r="G50" s="13" t="s">
        <v>66</v>
      </c>
      <c r="H50" s="13">
        <v>7</v>
      </c>
      <c r="I50" s="13" t="s">
        <v>67</v>
      </c>
      <c r="J50" s="13" t="s">
        <v>68</v>
      </c>
      <c r="K50" s="38" t="s">
        <v>69</v>
      </c>
      <c r="L50" s="15"/>
      <c r="M50" s="15"/>
      <c r="N50" s="47"/>
      <c r="O50" s="15"/>
      <c r="P50" s="15"/>
      <c r="Q50" s="15"/>
      <c r="R50" s="15"/>
    </row>
    <row r="51" spans="1:18" x14ac:dyDescent="0.2">
      <c r="A51" s="13">
        <v>6</v>
      </c>
      <c r="B51" s="13" t="s">
        <v>18</v>
      </c>
      <c r="C51" s="13" t="s">
        <v>19</v>
      </c>
      <c r="D51" s="14">
        <v>46262</v>
      </c>
      <c r="E51" s="13" t="s">
        <v>37</v>
      </c>
      <c r="F51" s="13" t="s">
        <v>21</v>
      </c>
      <c r="G51" s="13" t="s">
        <v>22</v>
      </c>
      <c r="H51" s="13"/>
      <c r="I51" s="13" t="s">
        <v>23</v>
      </c>
      <c r="J51" s="13" t="s">
        <v>70</v>
      </c>
      <c r="K51" s="38" t="s">
        <v>23</v>
      </c>
      <c r="L51" s="15"/>
      <c r="M51" s="15"/>
      <c r="N51" s="47"/>
      <c r="O51" s="15"/>
      <c r="P51" s="15"/>
      <c r="Q51" s="15"/>
      <c r="R51" s="15"/>
    </row>
    <row r="52" spans="1:18" x14ac:dyDescent="0.2">
      <c r="A52" s="13">
        <v>6</v>
      </c>
      <c r="B52" s="13" t="s">
        <v>18</v>
      </c>
      <c r="C52" s="13" t="s">
        <v>19</v>
      </c>
      <c r="D52" s="14">
        <v>46263</v>
      </c>
      <c r="E52" s="13" t="s">
        <v>46</v>
      </c>
      <c r="F52" s="13" t="s">
        <v>28</v>
      </c>
      <c r="G52" s="13" t="s">
        <v>47</v>
      </c>
      <c r="H52" s="13">
        <v>15</v>
      </c>
      <c r="I52" s="13" t="s">
        <v>29</v>
      </c>
      <c r="J52" s="13" t="s">
        <v>71</v>
      </c>
      <c r="K52" s="38" t="s">
        <v>49</v>
      </c>
      <c r="L52" s="15"/>
      <c r="M52" s="15"/>
      <c r="N52" s="47"/>
      <c r="O52" s="15"/>
      <c r="P52" s="15"/>
      <c r="Q52" s="15"/>
      <c r="R52" s="15"/>
    </row>
    <row r="53" spans="1:18" x14ac:dyDescent="0.2">
      <c r="A53" s="16">
        <v>7</v>
      </c>
      <c r="B53" s="16" t="s">
        <v>18</v>
      </c>
      <c r="C53" s="16" t="s">
        <v>19</v>
      </c>
      <c r="D53" s="17">
        <v>46264</v>
      </c>
      <c r="E53" s="16" t="s">
        <v>52</v>
      </c>
      <c r="F53" s="16" t="s">
        <v>53</v>
      </c>
      <c r="G53" s="16" t="s">
        <v>54</v>
      </c>
      <c r="H53" s="16"/>
      <c r="I53" s="16" t="s">
        <v>23</v>
      </c>
      <c r="J53" s="16" t="s">
        <v>55</v>
      </c>
      <c r="K53" s="38" t="s">
        <v>23</v>
      </c>
      <c r="L53" s="15"/>
      <c r="M53" s="15"/>
      <c r="N53" s="47"/>
      <c r="O53" s="15"/>
      <c r="P53" s="15"/>
      <c r="Q53" s="15"/>
      <c r="R53" s="15"/>
    </row>
    <row r="54" spans="1:18" x14ac:dyDescent="0.2">
      <c r="A54" s="13">
        <v>7</v>
      </c>
      <c r="B54" s="13" t="s">
        <v>18</v>
      </c>
      <c r="C54" s="13" t="s">
        <v>19</v>
      </c>
      <c r="D54" s="14">
        <v>46265</v>
      </c>
      <c r="E54" s="13" t="s">
        <v>56</v>
      </c>
      <c r="F54" s="13" t="s">
        <v>21</v>
      </c>
      <c r="G54" s="13" t="s">
        <v>57</v>
      </c>
      <c r="H54" s="13"/>
      <c r="I54" s="13" t="s">
        <v>23</v>
      </c>
      <c r="J54" s="13" t="s">
        <v>58</v>
      </c>
      <c r="K54" s="38" t="s">
        <v>23</v>
      </c>
      <c r="L54" s="15"/>
      <c r="M54" s="15"/>
      <c r="N54" s="47"/>
      <c r="O54" s="15"/>
      <c r="P54" s="15"/>
      <c r="Q54" s="15"/>
      <c r="R54" s="15"/>
    </row>
    <row r="55" spans="1:18" x14ac:dyDescent="0.2">
      <c r="A55" s="13">
        <v>7</v>
      </c>
      <c r="B55" s="13" t="s">
        <v>18</v>
      </c>
      <c r="C55" s="13" t="s">
        <v>19</v>
      </c>
      <c r="D55" s="14">
        <v>46265</v>
      </c>
      <c r="E55" s="13" t="s">
        <v>56</v>
      </c>
      <c r="F55" s="13" t="s">
        <v>28</v>
      </c>
      <c r="G55" s="13" t="s">
        <v>29</v>
      </c>
      <c r="H55" s="13">
        <v>4.5</v>
      </c>
      <c r="I55" s="13" t="s">
        <v>29</v>
      </c>
      <c r="J55" s="13" t="s">
        <v>59</v>
      </c>
      <c r="K55" s="38" t="s">
        <v>31</v>
      </c>
      <c r="L55" s="15"/>
      <c r="M55" s="15"/>
      <c r="N55" s="47"/>
      <c r="O55" s="15"/>
      <c r="P55" s="15"/>
      <c r="Q55" s="15"/>
      <c r="R55" s="15"/>
    </row>
    <row r="56" spans="1:18" x14ac:dyDescent="0.2">
      <c r="A56" s="13">
        <v>7</v>
      </c>
      <c r="B56" s="13" t="s">
        <v>18</v>
      </c>
      <c r="C56" s="13" t="s">
        <v>19</v>
      </c>
      <c r="D56" s="14">
        <v>46266</v>
      </c>
      <c r="E56" s="13" t="s">
        <v>61</v>
      </c>
      <c r="F56" s="13" t="s">
        <v>28</v>
      </c>
      <c r="G56" s="13" t="s">
        <v>72</v>
      </c>
      <c r="H56" s="13">
        <v>5.5</v>
      </c>
      <c r="I56" s="13" t="s">
        <v>72</v>
      </c>
      <c r="J56" s="13" t="s">
        <v>73</v>
      </c>
      <c r="K56" s="38" t="s">
        <v>83</v>
      </c>
      <c r="L56" s="15"/>
      <c r="M56" s="15"/>
      <c r="N56" s="47"/>
      <c r="O56" s="15"/>
      <c r="P56" s="15"/>
      <c r="Q56" s="15"/>
      <c r="R56" s="15"/>
    </row>
    <row r="57" spans="1:18" x14ac:dyDescent="0.2">
      <c r="A57" s="13">
        <v>7</v>
      </c>
      <c r="B57" s="13" t="s">
        <v>18</v>
      </c>
      <c r="C57" s="13" t="s">
        <v>19</v>
      </c>
      <c r="D57" s="14">
        <v>46267</v>
      </c>
      <c r="E57" s="13" t="s">
        <v>20</v>
      </c>
      <c r="F57" s="13" t="s">
        <v>21</v>
      </c>
      <c r="G57" s="13" t="s">
        <v>43</v>
      </c>
      <c r="H57" s="13"/>
      <c r="I57" s="13" t="s">
        <v>23</v>
      </c>
      <c r="J57" s="13" t="s">
        <v>65</v>
      </c>
      <c r="K57" s="38" t="s">
        <v>23</v>
      </c>
      <c r="L57" s="15"/>
      <c r="M57" s="15"/>
      <c r="N57" s="47"/>
      <c r="O57" s="15"/>
      <c r="P57" s="15"/>
      <c r="Q57" s="15"/>
      <c r="R57" s="15"/>
    </row>
    <row r="58" spans="1:18" x14ac:dyDescent="0.2">
      <c r="A58" s="13">
        <v>7</v>
      </c>
      <c r="B58" s="13" t="s">
        <v>18</v>
      </c>
      <c r="C58" s="13" t="s">
        <v>19</v>
      </c>
      <c r="D58" s="14">
        <v>46267</v>
      </c>
      <c r="E58" s="13" t="s">
        <v>20</v>
      </c>
      <c r="F58" s="13" t="s">
        <v>28</v>
      </c>
      <c r="G58" s="13" t="s">
        <v>29</v>
      </c>
      <c r="H58" s="13">
        <v>4.5</v>
      </c>
      <c r="I58" s="13" t="s">
        <v>29</v>
      </c>
      <c r="J58" s="13" t="s">
        <v>59</v>
      </c>
      <c r="K58" s="38" t="s">
        <v>31</v>
      </c>
      <c r="L58" s="15"/>
      <c r="M58" s="15"/>
      <c r="N58" s="47"/>
      <c r="O58" s="15"/>
      <c r="P58" s="15"/>
      <c r="Q58" s="15"/>
      <c r="R58" s="15"/>
    </row>
    <row r="59" spans="1:18" x14ac:dyDescent="0.2">
      <c r="A59" s="13">
        <v>7</v>
      </c>
      <c r="B59" s="13" t="s">
        <v>18</v>
      </c>
      <c r="C59" s="13" t="s">
        <v>19</v>
      </c>
      <c r="D59" s="14">
        <v>46268</v>
      </c>
      <c r="E59" s="13" t="s">
        <v>33</v>
      </c>
      <c r="F59" s="13" t="s">
        <v>28</v>
      </c>
      <c r="G59" s="13" t="s">
        <v>66</v>
      </c>
      <c r="H59" s="13">
        <v>8</v>
      </c>
      <c r="I59" s="13" t="s">
        <v>67</v>
      </c>
      <c r="J59" s="13" t="s">
        <v>68</v>
      </c>
      <c r="K59" s="38" t="s">
        <v>69</v>
      </c>
      <c r="L59" s="15"/>
      <c r="M59" s="15"/>
      <c r="N59" s="47"/>
      <c r="O59" s="15"/>
      <c r="P59" s="15"/>
      <c r="Q59" s="15"/>
      <c r="R59" s="15"/>
    </row>
    <row r="60" spans="1:18" x14ac:dyDescent="0.2">
      <c r="A60" s="13">
        <v>7</v>
      </c>
      <c r="B60" s="13" t="s">
        <v>18</v>
      </c>
      <c r="C60" s="13" t="s">
        <v>19</v>
      </c>
      <c r="D60" s="14">
        <v>46269</v>
      </c>
      <c r="E60" s="13" t="s">
        <v>37</v>
      </c>
      <c r="F60" s="13" t="s">
        <v>21</v>
      </c>
      <c r="G60" s="13" t="s">
        <v>22</v>
      </c>
      <c r="H60" s="13"/>
      <c r="I60" s="13" t="s">
        <v>23</v>
      </c>
      <c r="J60" s="13" t="s">
        <v>70</v>
      </c>
      <c r="K60" s="38" t="s">
        <v>23</v>
      </c>
      <c r="L60" s="15"/>
      <c r="M60" s="15"/>
      <c r="N60" s="47"/>
      <c r="O60" s="15"/>
      <c r="P60" s="15"/>
      <c r="Q60" s="15"/>
      <c r="R60" s="15"/>
    </row>
    <row r="61" spans="1:18" x14ac:dyDescent="0.2">
      <c r="A61" s="13">
        <v>7</v>
      </c>
      <c r="B61" s="13" t="s">
        <v>18</v>
      </c>
      <c r="C61" s="13" t="s">
        <v>19</v>
      </c>
      <c r="D61" s="14">
        <v>46270</v>
      </c>
      <c r="E61" s="13" t="s">
        <v>46</v>
      </c>
      <c r="F61" s="13" t="s">
        <v>28</v>
      </c>
      <c r="G61" s="13" t="s">
        <v>47</v>
      </c>
      <c r="H61" s="13">
        <v>18</v>
      </c>
      <c r="I61" s="13" t="s">
        <v>29</v>
      </c>
      <c r="J61" s="13" t="s">
        <v>71</v>
      </c>
      <c r="K61" s="38" t="s">
        <v>49</v>
      </c>
      <c r="L61" s="15"/>
      <c r="M61" s="15"/>
      <c r="N61" s="47"/>
      <c r="O61" s="15"/>
      <c r="P61" s="15"/>
      <c r="Q61" s="15"/>
      <c r="R61" s="15"/>
    </row>
    <row r="62" spans="1:18" x14ac:dyDescent="0.2">
      <c r="A62" s="16">
        <v>8</v>
      </c>
      <c r="B62" s="16" t="s">
        <v>84</v>
      </c>
      <c r="C62" s="16" t="s">
        <v>19</v>
      </c>
      <c r="D62" s="17">
        <v>46271</v>
      </c>
      <c r="E62" s="16" t="s">
        <v>52</v>
      </c>
      <c r="F62" s="16" t="s">
        <v>53</v>
      </c>
      <c r="G62" s="16" t="s">
        <v>54</v>
      </c>
      <c r="H62" s="16"/>
      <c r="I62" s="16" t="s">
        <v>23</v>
      </c>
      <c r="J62" s="16" t="s">
        <v>55</v>
      </c>
      <c r="K62" s="38" t="s">
        <v>23</v>
      </c>
      <c r="L62" s="15"/>
      <c r="M62" s="15"/>
      <c r="N62" s="47"/>
      <c r="O62" s="15"/>
      <c r="P62" s="15"/>
      <c r="Q62" s="15"/>
      <c r="R62" s="15"/>
    </row>
    <row r="63" spans="1:18" x14ac:dyDescent="0.2">
      <c r="A63" s="23">
        <v>8</v>
      </c>
      <c r="B63" s="23" t="s">
        <v>84</v>
      </c>
      <c r="C63" s="23" t="s">
        <v>19</v>
      </c>
      <c r="D63" s="24">
        <v>46272</v>
      </c>
      <c r="E63" s="23" t="s">
        <v>56</v>
      </c>
      <c r="F63" s="23" t="s">
        <v>21</v>
      </c>
      <c r="G63" s="23" t="s">
        <v>57</v>
      </c>
      <c r="H63" s="23"/>
      <c r="I63" s="23" t="s">
        <v>23</v>
      </c>
      <c r="J63" s="23" t="s">
        <v>58</v>
      </c>
      <c r="K63" s="38" t="s">
        <v>23</v>
      </c>
      <c r="L63" s="15"/>
      <c r="M63" s="15"/>
      <c r="N63" s="47"/>
      <c r="O63" s="15"/>
      <c r="P63" s="15"/>
      <c r="Q63" s="15"/>
      <c r="R63" s="15"/>
    </row>
    <row r="64" spans="1:18" x14ac:dyDescent="0.2">
      <c r="A64" s="23">
        <v>8</v>
      </c>
      <c r="B64" s="23" t="s">
        <v>84</v>
      </c>
      <c r="C64" s="23" t="s">
        <v>19</v>
      </c>
      <c r="D64" s="24">
        <v>46272</v>
      </c>
      <c r="E64" s="23" t="s">
        <v>56</v>
      </c>
      <c r="F64" s="23" t="s">
        <v>28</v>
      </c>
      <c r="G64" s="23" t="s">
        <v>29</v>
      </c>
      <c r="H64" s="23">
        <v>5.5</v>
      </c>
      <c r="I64" s="23" t="s">
        <v>29</v>
      </c>
      <c r="J64" s="23" t="s">
        <v>59</v>
      </c>
      <c r="K64" s="38" t="s">
        <v>31</v>
      </c>
      <c r="L64" s="15"/>
      <c r="M64" s="15"/>
      <c r="N64" s="47"/>
      <c r="O64" s="15"/>
      <c r="P64" s="15"/>
      <c r="Q64" s="15"/>
      <c r="R64" s="15"/>
    </row>
    <row r="65" spans="1:18" x14ac:dyDescent="0.2">
      <c r="A65" s="23">
        <v>8</v>
      </c>
      <c r="B65" s="23" t="s">
        <v>84</v>
      </c>
      <c r="C65" s="23" t="s">
        <v>19</v>
      </c>
      <c r="D65" s="24">
        <v>46273</v>
      </c>
      <c r="E65" s="23" t="s">
        <v>61</v>
      </c>
      <c r="F65" s="23" t="s">
        <v>28</v>
      </c>
      <c r="G65" s="23" t="s">
        <v>62</v>
      </c>
      <c r="H65" s="23">
        <v>6.5</v>
      </c>
      <c r="I65" s="23" t="s">
        <v>62</v>
      </c>
      <c r="J65" s="23" t="s">
        <v>63</v>
      </c>
      <c r="K65" s="38" t="s">
        <v>85</v>
      </c>
      <c r="L65" s="15"/>
      <c r="M65" s="15"/>
      <c r="N65" s="47"/>
      <c r="O65" s="15"/>
      <c r="P65" s="15"/>
      <c r="Q65" s="15"/>
      <c r="R65" s="15"/>
    </row>
    <row r="66" spans="1:18" x14ac:dyDescent="0.2">
      <c r="A66" s="23">
        <v>8</v>
      </c>
      <c r="B66" s="23" t="s">
        <v>84</v>
      </c>
      <c r="C66" s="23" t="s">
        <v>19</v>
      </c>
      <c r="D66" s="24">
        <v>46274</v>
      </c>
      <c r="E66" s="23" t="s">
        <v>20</v>
      </c>
      <c r="F66" s="23" t="s">
        <v>21</v>
      </c>
      <c r="G66" s="23" t="s">
        <v>43</v>
      </c>
      <c r="H66" s="23"/>
      <c r="I66" s="23" t="s">
        <v>23</v>
      </c>
      <c r="J66" s="23" t="s">
        <v>65</v>
      </c>
      <c r="K66" s="38" t="s">
        <v>23</v>
      </c>
      <c r="L66" s="15"/>
      <c r="M66" s="15"/>
      <c r="N66" s="47"/>
      <c r="O66" s="15"/>
      <c r="P66" s="15"/>
      <c r="Q66" s="15"/>
      <c r="R66" s="15"/>
    </row>
    <row r="67" spans="1:18" x14ac:dyDescent="0.2">
      <c r="A67" s="23">
        <v>8</v>
      </c>
      <c r="B67" s="23" t="s">
        <v>84</v>
      </c>
      <c r="C67" s="23" t="s">
        <v>19</v>
      </c>
      <c r="D67" s="24">
        <v>46274</v>
      </c>
      <c r="E67" s="23" t="s">
        <v>20</v>
      </c>
      <c r="F67" s="23" t="s">
        <v>28</v>
      </c>
      <c r="G67" s="23" t="s">
        <v>29</v>
      </c>
      <c r="H67" s="23">
        <v>5.5</v>
      </c>
      <c r="I67" s="23" t="s">
        <v>29</v>
      </c>
      <c r="J67" s="23" t="s">
        <v>59</v>
      </c>
      <c r="K67" s="38" t="s">
        <v>31</v>
      </c>
      <c r="L67" s="15"/>
      <c r="M67" s="15"/>
      <c r="N67" s="47"/>
      <c r="O67" s="15"/>
      <c r="P67" s="15"/>
      <c r="Q67" s="15"/>
      <c r="R67" s="15"/>
    </row>
    <row r="68" spans="1:18" x14ac:dyDescent="0.2">
      <c r="A68" s="23">
        <v>8</v>
      </c>
      <c r="B68" s="23" t="s">
        <v>84</v>
      </c>
      <c r="C68" s="23" t="s">
        <v>19</v>
      </c>
      <c r="D68" s="24">
        <v>46275</v>
      </c>
      <c r="E68" s="23" t="s">
        <v>33</v>
      </c>
      <c r="F68" s="23" t="s">
        <v>28</v>
      </c>
      <c r="G68" s="23" t="s">
        <v>86</v>
      </c>
      <c r="H68" s="23">
        <v>8</v>
      </c>
      <c r="I68" s="23" t="s">
        <v>87</v>
      </c>
      <c r="J68" s="23" t="s">
        <v>88</v>
      </c>
      <c r="K68" s="38" t="s">
        <v>89</v>
      </c>
      <c r="L68" s="15"/>
      <c r="M68" s="15"/>
      <c r="N68" s="47"/>
      <c r="O68" s="15"/>
      <c r="P68" s="15"/>
      <c r="Q68" s="15"/>
      <c r="R68" s="15"/>
    </row>
    <row r="69" spans="1:18" x14ac:dyDescent="0.2">
      <c r="A69" s="23">
        <v>8</v>
      </c>
      <c r="B69" s="23" t="s">
        <v>84</v>
      </c>
      <c r="C69" s="23" t="s">
        <v>19</v>
      </c>
      <c r="D69" s="24">
        <v>46276</v>
      </c>
      <c r="E69" s="23" t="s">
        <v>37</v>
      </c>
      <c r="F69" s="23" t="s">
        <v>21</v>
      </c>
      <c r="G69" s="23" t="s">
        <v>22</v>
      </c>
      <c r="H69" s="23"/>
      <c r="I69" s="23" t="s">
        <v>23</v>
      </c>
      <c r="J69" s="23" t="s">
        <v>90</v>
      </c>
      <c r="K69" s="38" t="s">
        <v>23</v>
      </c>
      <c r="L69" s="15"/>
      <c r="M69" s="15"/>
      <c r="N69" s="47"/>
      <c r="O69" s="15"/>
      <c r="P69" s="15"/>
      <c r="Q69" s="15"/>
      <c r="R69" s="15"/>
    </row>
    <row r="70" spans="1:18" x14ac:dyDescent="0.2">
      <c r="A70" s="23">
        <v>8</v>
      </c>
      <c r="B70" s="23" t="s">
        <v>84</v>
      </c>
      <c r="C70" s="23" t="s">
        <v>19</v>
      </c>
      <c r="D70" s="24">
        <v>46276</v>
      </c>
      <c r="E70" s="23" t="s">
        <v>37</v>
      </c>
      <c r="F70" s="23" t="s">
        <v>28</v>
      </c>
      <c r="G70" s="23" t="s">
        <v>29</v>
      </c>
      <c r="H70" s="23">
        <v>5.5</v>
      </c>
      <c r="I70" s="23" t="s">
        <v>29</v>
      </c>
      <c r="J70" s="23" t="s">
        <v>59</v>
      </c>
      <c r="K70" s="38" t="s">
        <v>31</v>
      </c>
      <c r="L70" s="15"/>
      <c r="M70" s="15"/>
      <c r="N70" s="47"/>
      <c r="O70" s="15"/>
      <c r="P70" s="15"/>
      <c r="Q70" s="15"/>
      <c r="R70" s="15"/>
    </row>
    <row r="71" spans="1:18" x14ac:dyDescent="0.2">
      <c r="A71" s="23">
        <v>8</v>
      </c>
      <c r="B71" s="23" t="s">
        <v>84</v>
      </c>
      <c r="C71" s="23" t="s">
        <v>19</v>
      </c>
      <c r="D71" s="24">
        <v>46277</v>
      </c>
      <c r="E71" s="23" t="s">
        <v>46</v>
      </c>
      <c r="F71" s="23" t="s">
        <v>28</v>
      </c>
      <c r="G71" s="23" t="s">
        <v>47</v>
      </c>
      <c r="H71" s="23">
        <v>19</v>
      </c>
      <c r="I71" s="23" t="s">
        <v>29</v>
      </c>
      <c r="J71" s="23" t="s">
        <v>71</v>
      </c>
      <c r="K71" s="38" t="s">
        <v>49</v>
      </c>
      <c r="L71" s="15"/>
      <c r="M71" s="15"/>
      <c r="N71" s="47"/>
      <c r="O71" s="15"/>
      <c r="P71" s="15"/>
      <c r="Q71" s="15"/>
      <c r="R71" s="15"/>
    </row>
    <row r="72" spans="1:18" x14ac:dyDescent="0.2">
      <c r="A72" s="16">
        <v>9</v>
      </c>
      <c r="B72" s="16" t="s">
        <v>84</v>
      </c>
      <c r="C72" s="16" t="s">
        <v>19</v>
      </c>
      <c r="D72" s="17">
        <v>46278</v>
      </c>
      <c r="E72" s="16" t="s">
        <v>52</v>
      </c>
      <c r="F72" s="16" t="s">
        <v>53</v>
      </c>
      <c r="G72" s="16" t="s">
        <v>54</v>
      </c>
      <c r="H72" s="16"/>
      <c r="I72" s="16" t="s">
        <v>23</v>
      </c>
      <c r="J72" s="16" t="s">
        <v>55</v>
      </c>
      <c r="K72" s="38" t="s">
        <v>23</v>
      </c>
      <c r="L72" s="15"/>
      <c r="M72" s="15"/>
      <c r="N72" s="47"/>
      <c r="O72" s="15"/>
      <c r="P72" s="15"/>
      <c r="Q72" s="15"/>
      <c r="R72" s="15"/>
    </row>
    <row r="73" spans="1:18" x14ac:dyDescent="0.2">
      <c r="A73" s="23">
        <v>9</v>
      </c>
      <c r="B73" s="23" t="s">
        <v>84</v>
      </c>
      <c r="C73" s="23" t="s">
        <v>19</v>
      </c>
      <c r="D73" s="24">
        <v>46279</v>
      </c>
      <c r="E73" s="23" t="s">
        <v>56</v>
      </c>
      <c r="F73" s="23" t="s">
        <v>21</v>
      </c>
      <c r="G73" s="23" t="s">
        <v>57</v>
      </c>
      <c r="H73" s="23"/>
      <c r="I73" s="23" t="s">
        <v>23</v>
      </c>
      <c r="J73" s="23" t="s">
        <v>58</v>
      </c>
      <c r="K73" s="38" t="s">
        <v>23</v>
      </c>
      <c r="L73" s="15"/>
      <c r="M73" s="15"/>
      <c r="N73" s="47"/>
      <c r="O73" s="15"/>
      <c r="P73" s="15"/>
      <c r="Q73" s="15"/>
      <c r="R73" s="15"/>
    </row>
    <row r="74" spans="1:18" x14ac:dyDescent="0.2">
      <c r="A74" s="23">
        <v>9</v>
      </c>
      <c r="B74" s="23" t="s">
        <v>84</v>
      </c>
      <c r="C74" s="23" t="s">
        <v>19</v>
      </c>
      <c r="D74" s="24">
        <v>46279</v>
      </c>
      <c r="E74" s="23" t="s">
        <v>56</v>
      </c>
      <c r="F74" s="23" t="s">
        <v>28</v>
      </c>
      <c r="G74" s="23" t="s">
        <v>29</v>
      </c>
      <c r="H74" s="23">
        <v>5.5</v>
      </c>
      <c r="I74" s="23" t="s">
        <v>29</v>
      </c>
      <c r="J74" s="23" t="s">
        <v>59</v>
      </c>
      <c r="K74" s="38" t="s">
        <v>31</v>
      </c>
      <c r="L74" s="15"/>
      <c r="M74" s="15"/>
      <c r="N74" s="47"/>
      <c r="O74" s="15"/>
      <c r="P74" s="15"/>
      <c r="Q74" s="15"/>
      <c r="R74" s="15"/>
    </row>
    <row r="75" spans="1:18" x14ac:dyDescent="0.2">
      <c r="A75" s="23">
        <v>9</v>
      </c>
      <c r="B75" s="23" t="s">
        <v>84</v>
      </c>
      <c r="C75" s="23" t="s">
        <v>19</v>
      </c>
      <c r="D75" s="24">
        <v>46280</v>
      </c>
      <c r="E75" s="23" t="s">
        <v>61</v>
      </c>
      <c r="F75" s="23" t="s">
        <v>28</v>
      </c>
      <c r="G75" s="23" t="s">
        <v>72</v>
      </c>
      <c r="H75" s="23">
        <v>6.5</v>
      </c>
      <c r="I75" s="23" t="s">
        <v>72</v>
      </c>
      <c r="J75" s="23" t="s">
        <v>73</v>
      </c>
      <c r="K75" s="38" t="s">
        <v>91</v>
      </c>
      <c r="L75" s="15"/>
      <c r="M75" s="15"/>
      <c r="N75" s="47"/>
      <c r="O75" s="15"/>
      <c r="P75" s="15"/>
      <c r="Q75" s="15"/>
      <c r="R75" s="15"/>
    </row>
    <row r="76" spans="1:18" x14ac:dyDescent="0.2">
      <c r="A76" s="23">
        <v>9</v>
      </c>
      <c r="B76" s="23" t="s">
        <v>84</v>
      </c>
      <c r="C76" s="23" t="s">
        <v>19</v>
      </c>
      <c r="D76" s="24">
        <v>46281</v>
      </c>
      <c r="E76" s="23" t="s">
        <v>20</v>
      </c>
      <c r="F76" s="23" t="s">
        <v>21</v>
      </c>
      <c r="G76" s="23" t="s">
        <v>43</v>
      </c>
      <c r="H76" s="23"/>
      <c r="I76" s="23" t="s">
        <v>23</v>
      </c>
      <c r="J76" s="23" t="s">
        <v>65</v>
      </c>
      <c r="K76" s="38" t="s">
        <v>23</v>
      </c>
      <c r="L76" s="15"/>
      <c r="M76" s="15"/>
      <c r="N76" s="47"/>
      <c r="O76" s="15"/>
      <c r="P76" s="15"/>
      <c r="Q76" s="15"/>
      <c r="R76" s="15"/>
    </row>
    <row r="77" spans="1:18" x14ac:dyDescent="0.2">
      <c r="A77" s="23">
        <v>9</v>
      </c>
      <c r="B77" s="23" t="s">
        <v>84</v>
      </c>
      <c r="C77" s="23" t="s">
        <v>19</v>
      </c>
      <c r="D77" s="24">
        <v>46281</v>
      </c>
      <c r="E77" s="23" t="s">
        <v>20</v>
      </c>
      <c r="F77" s="23" t="s">
        <v>28</v>
      </c>
      <c r="G77" s="23" t="s">
        <v>29</v>
      </c>
      <c r="H77" s="23">
        <v>5.5</v>
      </c>
      <c r="I77" s="23" t="s">
        <v>29</v>
      </c>
      <c r="J77" s="23" t="s">
        <v>59</v>
      </c>
      <c r="K77" s="38" t="s">
        <v>31</v>
      </c>
      <c r="L77" s="15"/>
      <c r="M77" s="15"/>
      <c r="N77" s="47"/>
      <c r="O77" s="15"/>
      <c r="P77" s="15"/>
      <c r="Q77" s="15"/>
      <c r="R77" s="15"/>
    </row>
    <row r="78" spans="1:18" x14ac:dyDescent="0.2">
      <c r="A78" s="23">
        <v>9</v>
      </c>
      <c r="B78" s="23" t="s">
        <v>84</v>
      </c>
      <c r="C78" s="23" t="s">
        <v>19</v>
      </c>
      <c r="D78" s="24">
        <v>46282</v>
      </c>
      <c r="E78" s="23" t="s">
        <v>33</v>
      </c>
      <c r="F78" s="23" t="s">
        <v>28</v>
      </c>
      <c r="G78" s="23" t="s">
        <v>86</v>
      </c>
      <c r="H78" s="23">
        <v>9</v>
      </c>
      <c r="I78" s="23" t="s">
        <v>87</v>
      </c>
      <c r="J78" s="23" t="s">
        <v>88</v>
      </c>
      <c r="K78" s="38" t="s">
        <v>89</v>
      </c>
      <c r="L78" s="15"/>
      <c r="M78" s="15"/>
      <c r="N78" s="47"/>
      <c r="O78" s="15"/>
      <c r="P78" s="15"/>
      <c r="Q78" s="15"/>
      <c r="R78" s="15"/>
    </row>
    <row r="79" spans="1:18" x14ac:dyDescent="0.2">
      <c r="A79" s="23">
        <v>9</v>
      </c>
      <c r="B79" s="23" t="s">
        <v>84</v>
      </c>
      <c r="C79" s="23" t="s">
        <v>19</v>
      </c>
      <c r="D79" s="24">
        <v>46283</v>
      </c>
      <c r="E79" s="23" t="s">
        <v>37</v>
      </c>
      <c r="F79" s="23" t="s">
        <v>21</v>
      </c>
      <c r="G79" s="23" t="s">
        <v>22</v>
      </c>
      <c r="H79" s="23"/>
      <c r="I79" s="23" t="s">
        <v>23</v>
      </c>
      <c r="J79" s="23" t="s">
        <v>90</v>
      </c>
      <c r="K79" s="38" t="s">
        <v>23</v>
      </c>
      <c r="L79" s="15"/>
      <c r="M79" s="15"/>
      <c r="N79" s="47"/>
      <c r="O79" s="15"/>
      <c r="P79" s="15"/>
      <c r="Q79" s="15"/>
      <c r="R79" s="15"/>
    </row>
    <row r="80" spans="1:18" x14ac:dyDescent="0.2">
      <c r="A80" s="23">
        <v>9</v>
      </c>
      <c r="B80" s="23" t="s">
        <v>84</v>
      </c>
      <c r="C80" s="23" t="s">
        <v>19</v>
      </c>
      <c r="D80" s="24">
        <v>46283</v>
      </c>
      <c r="E80" s="23" t="s">
        <v>37</v>
      </c>
      <c r="F80" s="23" t="s">
        <v>28</v>
      </c>
      <c r="G80" s="23" t="s">
        <v>29</v>
      </c>
      <c r="H80" s="23">
        <v>5.5</v>
      </c>
      <c r="I80" s="23" t="s">
        <v>29</v>
      </c>
      <c r="J80" s="23" t="s">
        <v>59</v>
      </c>
      <c r="K80" s="38" t="s">
        <v>31</v>
      </c>
      <c r="L80" s="15"/>
      <c r="M80" s="15"/>
      <c r="N80" s="47"/>
      <c r="O80" s="15"/>
      <c r="P80" s="15"/>
      <c r="Q80" s="15"/>
      <c r="R80" s="15"/>
    </row>
    <row r="81" spans="1:18" x14ac:dyDescent="0.2">
      <c r="A81" s="23">
        <v>9</v>
      </c>
      <c r="B81" s="23" t="s">
        <v>84</v>
      </c>
      <c r="C81" s="23" t="s">
        <v>19</v>
      </c>
      <c r="D81" s="24">
        <v>46284</v>
      </c>
      <c r="E81" s="23" t="s">
        <v>46</v>
      </c>
      <c r="F81" s="23" t="s">
        <v>28</v>
      </c>
      <c r="G81" s="23" t="s">
        <v>47</v>
      </c>
      <c r="H81" s="23">
        <v>21</v>
      </c>
      <c r="I81" s="23" t="s">
        <v>29</v>
      </c>
      <c r="J81" s="23" t="s">
        <v>71</v>
      </c>
      <c r="K81" s="38" t="s">
        <v>49</v>
      </c>
      <c r="L81" s="15"/>
      <c r="M81" s="15"/>
      <c r="N81" s="47"/>
      <c r="O81" s="15"/>
      <c r="P81" s="15"/>
      <c r="Q81" s="15"/>
      <c r="R81" s="15"/>
    </row>
    <row r="82" spans="1:18" x14ac:dyDescent="0.2">
      <c r="A82" s="18">
        <v>10</v>
      </c>
      <c r="B82" s="18" t="s">
        <v>84</v>
      </c>
      <c r="C82" s="18" t="s">
        <v>76</v>
      </c>
      <c r="D82" s="19">
        <v>46285</v>
      </c>
      <c r="E82" s="18" t="s">
        <v>52</v>
      </c>
      <c r="F82" s="18" t="s">
        <v>53</v>
      </c>
      <c r="G82" s="18" t="s">
        <v>54</v>
      </c>
      <c r="H82" s="18"/>
      <c r="I82" s="18" t="s">
        <v>23</v>
      </c>
      <c r="J82" s="18" t="s">
        <v>77</v>
      </c>
      <c r="K82" s="39" t="s">
        <v>23</v>
      </c>
      <c r="L82" s="20"/>
      <c r="M82" s="20"/>
      <c r="N82" s="48"/>
      <c r="O82" s="20"/>
      <c r="P82" s="20"/>
      <c r="Q82" s="20"/>
      <c r="R82" s="20"/>
    </row>
    <row r="83" spans="1:18" x14ac:dyDescent="0.2">
      <c r="A83" s="25">
        <v>10</v>
      </c>
      <c r="B83" s="25" t="s">
        <v>84</v>
      </c>
      <c r="C83" s="25" t="s">
        <v>76</v>
      </c>
      <c r="D83" s="26">
        <v>46286</v>
      </c>
      <c r="E83" s="25" t="s">
        <v>56</v>
      </c>
      <c r="F83" s="25" t="s">
        <v>21</v>
      </c>
      <c r="G83" s="25" t="s">
        <v>57</v>
      </c>
      <c r="H83" s="25"/>
      <c r="I83" s="25" t="s">
        <v>23</v>
      </c>
      <c r="J83" s="25" t="s">
        <v>58</v>
      </c>
      <c r="K83" s="39" t="s">
        <v>23</v>
      </c>
      <c r="L83" s="20"/>
      <c r="M83" s="20"/>
      <c r="N83" s="48"/>
      <c r="O83" s="20"/>
      <c r="P83" s="20"/>
      <c r="Q83" s="20"/>
      <c r="R83" s="20"/>
    </row>
    <row r="84" spans="1:18" x14ac:dyDescent="0.2">
      <c r="A84" s="25">
        <v>10</v>
      </c>
      <c r="B84" s="25" t="s">
        <v>84</v>
      </c>
      <c r="C84" s="25" t="s">
        <v>76</v>
      </c>
      <c r="D84" s="26">
        <v>46286</v>
      </c>
      <c r="E84" s="25" t="s">
        <v>56</v>
      </c>
      <c r="F84" s="25" t="s">
        <v>28</v>
      </c>
      <c r="G84" s="25" t="s">
        <v>29</v>
      </c>
      <c r="H84" s="25">
        <v>4.5</v>
      </c>
      <c r="I84" s="25" t="s">
        <v>29</v>
      </c>
      <c r="J84" s="25" t="s">
        <v>59</v>
      </c>
      <c r="K84" s="39" t="s">
        <v>31</v>
      </c>
      <c r="L84" s="20"/>
      <c r="M84" s="20"/>
      <c r="N84" s="48"/>
      <c r="O84" s="20"/>
      <c r="P84" s="20"/>
      <c r="Q84" s="20"/>
      <c r="R84" s="20"/>
    </row>
    <row r="85" spans="1:18" x14ac:dyDescent="0.2">
      <c r="A85" s="25">
        <v>10</v>
      </c>
      <c r="B85" s="25" t="s">
        <v>84</v>
      </c>
      <c r="C85" s="25" t="s">
        <v>76</v>
      </c>
      <c r="D85" s="26">
        <v>46287</v>
      </c>
      <c r="E85" s="25" t="s">
        <v>61</v>
      </c>
      <c r="F85" s="25" t="s">
        <v>28</v>
      </c>
      <c r="G85" s="25" t="s">
        <v>62</v>
      </c>
      <c r="H85" s="25">
        <v>5</v>
      </c>
      <c r="I85" s="25" t="s">
        <v>62</v>
      </c>
      <c r="J85" s="25" t="s">
        <v>78</v>
      </c>
      <c r="K85" s="39" t="s">
        <v>92</v>
      </c>
      <c r="L85" s="20"/>
      <c r="M85" s="20"/>
      <c r="N85" s="48"/>
      <c r="O85" s="20"/>
      <c r="P85" s="20"/>
      <c r="Q85" s="20"/>
      <c r="R85" s="20"/>
    </row>
    <row r="86" spans="1:18" x14ac:dyDescent="0.2">
      <c r="A86" s="25">
        <v>10</v>
      </c>
      <c r="B86" s="25" t="s">
        <v>84</v>
      </c>
      <c r="C86" s="25" t="s">
        <v>76</v>
      </c>
      <c r="D86" s="26">
        <v>46288</v>
      </c>
      <c r="E86" s="25" t="s">
        <v>20</v>
      </c>
      <c r="F86" s="25" t="s">
        <v>21</v>
      </c>
      <c r="G86" s="25" t="s">
        <v>43</v>
      </c>
      <c r="H86" s="25"/>
      <c r="I86" s="25" t="s">
        <v>23</v>
      </c>
      <c r="J86" s="25" t="s">
        <v>65</v>
      </c>
      <c r="K86" s="39" t="s">
        <v>23</v>
      </c>
      <c r="L86" s="20"/>
      <c r="M86" s="20"/>
      <c r="N86" s="48"/>
      <c r="O86" s="20"/>
      <c r="P86" s="20"/>
      <c r="Q86" s="20"/>
      <c r="R86" s="20"/>
    </row>
    <row r="87" spans="1:18" x14ac:dyDescent="0.2">
      <c r="A87" s="25">
        <v>10</v>
      </c>
      <c r="B87" s="25" t="s">
        <v>84</v>
      </c>
      <c r="C87" s="25" t="s">
        <v>76</v>
      </c>
      <c r="D87" s="26">
        <v>46288</v>
      </c>
      <c r="E87" s="25" t="s">
        <v>20</v>
      </c>
      <c r="F87" s="25" t="s">
        <v>28</v>
      </c>
      <c r="G87" s="25" t="s">
        <v>29</v>
      </c>
      <c r="H87" s="25">
        <v>4.5</v>
      </c>
      <c r="I87" s="25" t="s">
        <v>29</v>
      </c>
      <c r="J87" s="25" t="s">
        <v>59</v>
      </c>
      <c r="K87" s="39" t="s">
        <v>31</v>
      </c>
      <c r="L87" s="20"/>
      <c r="M87" s="20"/>
      <c r="N87" s="48"/>
      <c r="O87" s="20"/>
      <c r="P87" s="20"/>
      <c r="Q87" s="20"/>
      <c r="R87" s="20"/>
    </row>
    <row r="88" spans="1:18" x14ac:dyDescent="0.2">
      <c r="A88" s="25">
        <v>10</v>
      </c>
      <c r="B88" s="25" t="s">
        <v>84</v>
      </c>
      <c r="C88" s="25" t="s">
        <v>76</v>
      </c>
      <c r="D88" s="26">
        <v>46289</v>
      </c>
      <c r="E88" s="25" t="s">
        <v>33</v>
      </c>
      <c r="F88" s="25" t="s">
        <v>28</v>
      </c>
      <c r="G88" s="25" t="s">
        <v>86</v>
      </c>
      <c r="H88" s="25">
        <v>7</v>
      </c>
      <c r="I88" s="25" t="s">
        <v>87</v>
      </c>
      <c r="J88" s="25" t="s">
        <v>93</v>
      </c>
      <c r="K88" s="39" t="s">
        <v>89</v>
      </c>
      <c r="L88" s="20"/>
      <c r="M88" s="20"/>
      <c r="N88" s="48"/>
      <c r="O88" s="20"/>
      <c r="P88" s="20"/>
      <c r="Q88" s="20"/>
      <c r="R88" s="20"/>
    </row>
    <row r="89" spans="1:18" x14ac:dyDescent="0.2">
      <c r="A89" s="25">
        <v>10</v>
      </c>
      <c r="B89" s="25" t="s">
        <v>84</v>
      </c>
      <c r="C89" s="25" t="s">
        <v>76</v>
      </c>
      <c r="D89" s="26">
        <v>46290</v>
      </c>
      <c r="E89" s="25" t="s">
        <v>37</v>
      </c>
      <c r="F89" s="25" t="s">
        <v>21</v>
      </c>
      <c r="G89" s="25" t="s">
        <v>22</v>
      </c>
      <c r="H89" s="25"/>
      <c r="I89" s="25" t="s">
        <v>23</v>
      </c>
      <c r="J89" s="25" t="s">
        <v>90</v>
      </c>
      <c r="K89" s="39" t="s">
        <v>23</v>
      </c>
      <c r="L89" s="20"/>
      <c r="M89" s="20"/>
      <c r="N89" s="48"/>
      <c r="O89" s="20"/>
      <c r="P89" s="20"/>
      <c r="Q89" s="20"/>
      <c r="R89" s="20"/>
    </row>
    <row r="90" spans="1:18" x14ac:dyDescent="0.2">
      <c r="A90" s="25">
        <v>10</v>
      </c>
      <c r="B90" s="25" t="s">
        <v>84</v>
      </c>
      <c r="C90" s="25" t="s">
        <v>76</v>
      </c>
      <c r="D90" s="26">
        <v>46290</v>
      </c>
      <c r="E90" s="25" t="s">
        <v>37</v>
      </c>
      <c r="F90" s="25" t="s">
        <v>28</v>
      </c>
      <c r="G90" s="25" t="s">
        <v>29</v>
      </c>
      <c r="H90" s="25">
        <v>4.5</v>
      </c>
      <c r="I90" s="25" t="s">
        <v>29</v>
      </c>
      <c r="J90" s="25" t="s">
        <v>59</v>
      </c>
      <c r="K90" s="39" t="s">
        <v>31</v>
      </c>
      <c r="L90" s="20"/>
      <c r="M90" s="20"/>
      <c r="N90" s="48"/>
      <c r="O90" s="20"/>
      <c r="P90" s="20"/>
      <c r="Q90" s="20"/>
      <c r="R90" s="20"/>
    </row>
    <row r="91" spans="1:18" x14ac:dyDescent="0.2">
      <c r="A91" s="25">
        <v>10</v>
      </c>
      <c r="B91" s="25" t="s">
        <v>84</v>
      </c>
      <c r="C91" s="25" t="s">
        <v>76</v>
      </c>
      <c r="D91" s="26">
        <v>46291</v>
      </c>
      <c r="E91" s="25" t="s">
        <v>46</v>
      </c>
      <c r="F91" s="25" t="s">
        <v>28</v>
      </c>
      <c r="G91" s="25" t="s">
        <v>47</v>
      </c>
      <c r="H91" s="25">
        <v>16</v>
      </c>
      <c r="I91" s="25" t="s">
        <v>29</v>
      </c>
      <c r="J91" s="25" t="s">
        <v>81</v>
      </c>
      <c r="K91" s="39" t="s">
        <v>49</v>
      </c>
      <c r="L91" s="20"/>
      <c r="M91" s="20"/>
      <c r="N91" s="48"/>
      <c r="O91" s="20"/>
      <c r="P91" s="20"/>
      <c r="Q91" s="20"/>
      <c r="R91" s="20"/>
    </row>
    <row r="92" spans="1:18" x14ac:dyDescent="0.2">
      <c r="A92" s="16">
        <v>11</v>
      </c>
      <c r="B92" s="16" t="s">
        <v>84</v>
      </c>
      <c r="C92" s="16" t="s">
        <v>19</v>
      </c>
      <c r="D92" s="17">
        <v>46292</v>
      </c>
      <c r="E92" s="16" t="s">
        <v>52</v>
      </c>
      <c r="F92" s="16" t="s">
        <v>53</v>
      </c>
      <c r="G92" s="16" t="s">
        <v>54</v>
      </c>
      <c r="H92" s="16"/>
      <c r="I92" s="16" t="s">
        <v>23</v>
      </c>
      <c r="J92" s="16" t="s">
        <v>55</v>
      </c>
      <c r="K92" s="38" t="s">
        <v>23</v>
      </c>
      <c r="L92" s="15"/>
      <c r="M92" s="15"/>
      <c r="N92" s="47"/>
      <c r="O92" s="15"/>
      <c r="P92" s="15"/>
      <c r="Q92" s="15"/>
      <c r="R92" s="15"/>
    </row>
    <row r="93" spans="1:18" x14ac:dyDescent="0.2">
      <c r="A93" s="23">
        <v>11</v>
      </c>
      <c r="B93" s="23" t="s">
        <v>84</v>
      </c>
      <c r="C93" s="23" t="s">
        <v>19</v>
      </c>
      <c r="D93" s="24">
        <v>46293</v>
      </c>
      <c r="E93" s="23" t="s">
        <v>56</v>
      </c>
      <c r="F93" s="23" t="s">
        <v>21</v>
      </c>
      <c r="G93" s="23" t="s">
        <v>57</v>
      </c>
      <c r="H93" s="23"/>
      <c r="I93" s="23" t="s">
        <v>23</v>
      </c>
      <c r="J93" s="23" t="s">
        <v>58</v>
      </c>
      <c r="K93" s="38" t="s">
        <v>23</v>
      </c>
      <c r="L93" s="15"/>
      <c r="M93" s="15"/>
      <c r="N93" s="47"/>
      <c r="O93" s="15"/>
      <c r="P93" s="15"/>
      <c r="Q93" s="15"/>
      <c r="R93" s="15"/>
    </row>
    <row r="94" spans="1:18" x14ac:dyDescent="0.2">
      <c r="A94" s="23">
        <v>11</v>
      </c>
      <c r="B94" s="23" t="s">
        <v>84</v>
      </c>
      <c r="C94" s="23" t="s">
        <v>19</v>
      </c>
      <c r="D94" s="24">
        <v>46293</v>
      </c>
      <c r="E94" s="23" t="s">
        <v>56</v>
      </c>
      <c r="F94" s="23" t="s">
        <v>28</v>
      </c>
      <c r="G94" s="23" t="s">
        <v>29</v>
      </c>
      <c r="H94" s="23">
        <v>5.5</v>
      </c>
      <c r="I94" s="23" t="s">
        <v>29</v>
      </c>
      <c r="J94" s="23" t="s">
        <v>59</v>
      </c>
      <c r="K94" s="38" t="s">
        <v>31</v>
      </c>
      <c r="L94" s="15"/>
      <c r="M94" s="15"/>
      <c r="N94" s="47"/>
      <c r="O94" s="15"/>
      <c r="P94" s="15"/>
      <c r="Q94" s="15"/>
      <c r="R94" s="15"/>
    </row>
    <row r="95" spans="1:18" x14ac:dyDescent="0.2">
      <c r="A95" s="23">
        <v>11</v>
      </c>
      <c r="B95" s="23" t="s">
        <v>84</v>
      </c>
      <c r="C95" s="23" t="s">
        <v>19</v>
      </c>
      <c r="D95" s="24">
        <v>46294</v>
      </c>
      <c r="E95" s="23" t="s">
        <v>61</v>
      </c>
      <c r="F95" s="23" t="s">
        <v>28</v>
      </c>
      <c r="G95" s="23" t="s">
        <v>72</v>
      </c>
      <c r="H95" s="23">
        <v>6.5</v>
      </c>
      <c r="I95" s="23" t="s">
        <v>72</v>
      </c>
      <c r="J95" s="23" t="s">
        <v>73</v>
      </c>
      <c r="K95" s="38" t="s">
        <v>94</v>
      </c>
      <c r="L95" s="15"/>
      <c r="M95" s="15"/>
      <c r="N95" s="47"/>
      <c r="O95" s="15"/>
      <c r="P95" s="15"/>
      <c r="Q95" s="15"/>
      <c r="R95" s="15"/>
    </row>
    <row r="96" spans="1:18" x14ac:dyDescent="0.2">
      <c r="A96" s="23">
        <v>11</v>
      </c>
      <c r="B96" s="23" t="s">
        <v>84</v>
      </c>
      <c r="C96" s="23" t="s">
        <v>19</v>
      </c>
      <c r="D96" s="24">
        <v>46295</v>
      </c>
      <c r="E96" s="23" t="s">
        <v>20</v>
      </c>
      <c r="F96" s="23" t="s">
        <v>21</v>
      </c>
      <c r="G96" s="23" t="s">
        <v>43</v>
      </c>
      <c r="H96" s="23"/>
      <c r="I96" s="23" t="s">
        <v>23</v>
      </c>
      <c r="J96" s="23" t="s">
        <v>65</v>
      </c>
      <c r="K96" s="38" t="s">
        <v>23</v>
      </c>
      <c r="L96" s="15"/>
      <c r="M96" s="15"/>
      <c r="N96" s="47"/>
      <c r="O96" s="15"/>
      <c r="P96" s="15"/>
      <c r="Q96" s="15"/>
      <c r="R96" s="15"/>
    </row>
    <row r="97" spans="1:18" x14ac:dyDescent="0.2">
      <c r="A97" s="23">
        <v>11</v>
      </c>
      <c r="B97" s="23" t="s">
        <v>84</v>
      </c>
      <c r="C97" s="23" t="s">
        <v>19</v>
      </c>
      <c r="D97" s="24">
        <v>46295</v>
      </c>
      <c r="E97" s="23" t="s">
        <v>20</v>
      </c>
      <c r="F97" s="23" t="s">
        <v>28</v>
      </c>
      <c r="G97" s="23" t="s">
        <v>29</v>
      </c>
      <c r="H97" s="23">
        <v>5.5</v>
      </c>
      <c r="I97" s="23" t="s">
        <v>29</v>
      </c>
      <c r="J97" s="23" t="s">
        <v>59</v>
      </c>
      <c r="K97" s="38" t="s">
        <v>31</v>
      </c>
      <c r="L97" s="15"/>
      <c r="M97" s="15"/>
      <c r="N97" s="47"/>
      <c r="O97" s="15"/>
      <c r="P97" s="15"/>
      <c r="Q97" s="15"/>
      <c r="R97" s="15"/>
    </row>
    <row r="98" spans="1:18" x14ac:dyDescent="0.2">
      <c r="A98" s="23">
        <v>11</v>
      </c>
      <c r="B98" s="23" t="s">
        <v>84</v>
      </c>
      <c r="C98" s="23" t="s">
        <v>19</v>
      </c>
      <c r="D98" s="24">
        <v>46296</v>
      </c>
      <c r="E98" s="23" t="s">
        <v>33</v>
      </c>
      <c r="F98" s="23" t="s">
        <v>28</v>
      </c>
      <c r="G98" s="23" t="s">
        <v>86</v>
      </c>
      <c r="H98" s="23">
        <v>9</v>
      </c>
      <c r="I98" s="23" t="s">
        <v>87</v>
      </c>
      <c r="J98" s="23" t="s">
        <v>88</v>
      </c>
      <c r="K98" s="38" t="s">
        <v>89</v>
      </c>
      <c r="L98" s="15"/>
      <c r="M98" s="15"/>
      <c r="N98" s="47"/>
      <c r="O98" s="15"/>
      <c r="P98" s="15"/>
      <c r="Q98" s="15"/>
      <c r="R98" s="15"/>
    </row>
    <row r="99" spans="1:18" x14ac:dyDescent="0.2">
      <c r="A99" s="23">
        <v>11</v>
      </c>
      <c r="B99" s="23" t="s">
        <v>84</v>
      </c>
      <c r="C99" s="23" t="s">
        <v>19</v>
      </c>
      <c r="D99" s="24">
        <v>46297</v>
      </c>
      <c r="E99" s="23" t="s">
        <v>37</v>
      </c>
      <c r="F99" s="23" t="s">
        <v>21</v>
      </c>
      <c r="G99" s="23" t="s">
        <v>22</v>
      </c>
      <c r="H99" s="23"/>
      <c r="I99" s="23" t="s">
        <v>23</v>
      </c>
      <c r="J99" s="23" t="s">
        <v>90</v>
      </c>
      <c r="K99" s="38" t="s">
        <v>23</v>
      </c>
      <c r="L99" s="15"/>
      <c r="M99" s="15"/>
      <c r="N99" s="47"/>
      <c r="O99" s="15"/>
      <c r="P99" s="15"/>
      <c r="Q99" s="15"/>
      <c r="R99" s="15"/>
    </row>
    <row r="100" spans="1:18" x14ac:dyDescent="0.2">
      <c r="A100" s="23">
        <v>11</v>
      </c>
      <c r="B100" s="23" t="s">
        <v>84</v>
      </c>
      <c r="C100" s="23" t="s">
        <v>19</v>
      </c>
      <c r="D100" s="24">
        <v>46297</v>
      </c>
      <c r="E100" s="23" t="s">
        <v>37</v>
      </c>
      <c r="F100" s="23" t="s">
        <v>28</v>
      </c>
      <c r="G100" s="23" t="s">
        <v>29</v>
      </c>
      <c r="H100" s="23">
        <v>5.5</v>
      </c>
      <c r="I100" s="23" t="s">
        <v>29</v>
      </c>
      <c r="J100" s="23" t="s">
        <v>59</v>
      </c>
      <c r="K100" s="38" t="s">
        <v>31</v>
      </c>
      <c r="L100" s="15"/>
      <c r="M100" s="15"/>
      <c r="N100" s="47"/>
      <c r="O100" s="15"/>
      <c r="P100" s="15"/>
      <c r="Q100" s="15"/>
      <c r="R100" s="15"/>
    </row>
    <row r="101" spans="1:18" x14ac:dyDescent="0.2">
      <c r="A101" s="23">
        <v>11</v>
      </c>
      <c r="B101" s="23" t="s">
        <v>84</v>
      </c>
      <c r="C101" s="23" t="s">
        <v>19</v>
      </c>
      <c r="D101" s="24">
        <v>46298</v>
      </c>
      <c r="E101" s="23" t="s">
        <v>46</v>
      </c>
      <c r="F101" s="23" t="s">
        <v>28</v>
      </c>
      <c r="G101" s="23" t="s">
        <v>47</v>
      </c>
      <c r="H101" s="23">
        <v>20</v>
      </c>
      <c r="I101" s="23" t="s">
        <v>29</v>
      </c>
      <c r="J101" s="23" t="s">
        <v>71</v>
      </c>
      <c r="K101" s="38" t="s">
        <v>49</v>
      </c>
      <c r="L101" s="15"/>
      <c r="M101" s="15"/>
      <c r="N101" s="47"/>
      <c r="O101" s="15"/>
      <c r="P101" s="15"/>
      <c r="Q101" s="15"/>
      <c r="R101" s="15"/>
    </row>
    <row r="102" spans="1:18" x14ac:dyDescent="0.2">
      <c r="A102" s="16">
        <v>12</v>
      </c>
      <c r="B102" s="16" t="s">
        <v>84</v>
      </c>
      <c r="C102" s="16" t="s">
        <v>19</v>
      </c>
      <c r="D102" s="17">
        <v>46299</v>
      </c>
      <c r="E102" s="16" t="s">
        <v>52</v>
      </c>
      <c r="F102" s="16" t="s">
        <v>53</v>
      </c>
      <c r="G102" s="16" t="s">
        <v>54</v>
      </c>
      <c r="H102" s="16"/>
      <c r="I102" s="16" t="s">
        <v>23</v>
      </c>
      <c r="J102" s="16" t="s">
        <v>55</v>
      </c>
      <c r="K102" s="38" t="s">
        <v>23</v>
      </c>
      <c r="L102" s="15"/>
      <c r="M102" s="15"/>
      <c r="N102" s="47"/>
      <c r="O102" s="15"/>
      <c r="P102" s="15"/>
      <c r="Q102" s="15"/>
      <c r="R102" s="15"/>
    </row>
    <row r="103" spans="1:18" x14ac:dyDescent="0.2">
      <c r="A103" s="23">
        <v>12</v>
      </c>
      <c r="B103" s="23" t="s">
        <v>84</v>
      </c>
      <c r="C103" s="23" t="s">
        <v>19</v>
      </c>
      <c r="D103" s="24">
        <v>46300</v>
      </c>
      <c r="E103" s="23" t="s">
        <v>56</v>
      </c>
      <c r="F103" s="23" t="s">
        <v>21</v>
      </c>
      <c r="G103" s="23" t="s">
        <v>57</v>
      </c>
      <c r="H103" s="23"/>
      <c r="I103" s="23" t="s">
        <v>23</v>
      </c>
      <c r="J103" s="23" t="s">
        <v>58</v>
      </c>
      <c r="K103" s="38" t="s">
        <v>23</v>
      </c>
      <c r="L103" s="15"/>
      <c r="M103" s="15"/>
      <c r="N103" s="47"/>
      <c r="O103" s="15"/>
      <c r="P103" s="15"/>
      <c r="Q103" s="15"/>
      <c r="R103" s="15"/>
    </row>
    <row r="104" spans="1:18" x14ac:dyDescent="0.2">
      <c r="A104" s="23">
        <v>12</v>
      </c>
      <c r="B104" s="23" t="s">
        <v>84</v>
      </c>
      <c r="C104" s="23" t="s">
        <v>19</v>
      </c>
      <c r="D104" s="24">
        <v>46300</v>
      </c>
      <c r="E104" s="23" t="s">
        <v>56</v>
      </c>
      <c r="F104" s="23" t="s">
        <v>28</v>
      </c>
      <c r="G104" s="23" t="s">
        <v>29</v>
      </c>
      <c r="H104" s="23">
        <v>5.5</v>
      </c>
      <c r="I104" s="23" t="s">
        <v>29</v>
      </c>
      <c r="J104" s="23" t="s">
        <v>59</v>
      </c>
      <c r="K104" s="38" t="s">
        <v>31</v>
      </c>
      <c r="L104" s="15"/>
      <c r="M104" s="15"/>
      <c r="N104" s="47"/>
      <c r="O104" s="15"/>
      <c r="P104" s="15"/>
      <c r="Q104" s="15"/>
      <c r="R104" s="15"/>
    </row>
    <row r="105" spans="1:18" x14ac:dyDescent="0.2">
      <c r="A105" s="23">
        <v>12</v>
      </c>
      <c r="B105" s="23" t="s">
        <v>84</v>
      </c>
      <c r="C105" s="23" t="s">
        <v>19</v>
      </c>
      <c r="D105" s="24">
        <v>46301</v>
      </c>
      <c r="E105" s="23" t="s">
        <v>61</v>
      </c>
      <c r="F105" s="23" t="s">
        <v>28</v>
      </c>
      <c r="G105" s="23" t="s">
        <v>62</v>
      </c>
      <c r="H105" s="23">
        <v>6.5</v>
      </c>
      <c r="I105" s="23" t="s">
        <v>62</v>
      </c>
      <c r="J105" s="23" t="s">
        <v>63</v>
      </c>
      <c r="K105" s="38" t="s">
        <v>95</v>
      </c>
      <c r="L105" s="15"/>
      <c r="M105" s="15"/>
      <c r="N105" s="47"/>
      <c r="O105" s="15"/>
      <c r="P105" s="15"/>
      <c r="Q105" s="15"/>
      <c r="R105" s="15"/>
    </row>
    <row r="106" spans="1:18" x14ac:dyDescent="0.2">
      <c r="A106" s="23">
        <v>12</v>
      </c>
      <c r="B106" s="23" t="s">
        <v>84</v>
      </c>
      <c r="C106" s="23" t="s">
        <v>19</v>
      </c>
      <c r="D106" s="24">
        <v>46302</v>
      </c>
      <c r="E106" s="23" t="s">
        <v>20</v>
      </c>
      <c r="F106" s="23" t="s">
        <v>21</v>
      </c>
      <c r="G106" s="23" t="s">
        <v>43</v>
      </c>
      <c r="H106" s="23"/>
      <c r="I106" s="23" t="s">
        <v>23</v>
      </c>
      <c r="J106" s="23" t="s">
        <v>65</v>
      </c>
      <c r="K106" s="38" t="s">
        <v>23</v>
      </c>
      <c r="L106" s="15"/>
      <c r="M106" s="15"/>
      <c r="N106" s="47"/>
      <c r="O106" s="15"/>
      <c r="P106" s="15"/>
      <c r="Q106" s="15"/>
      <c r="R106" s="15"/>
    </row>
    <row r="107" spans="1:18" x14ac:dyDescent="0.2">
      <c r="A107" s="23">
        <v>12</v>
      </c>
      <c r="B107" s="23" t="s">
        <v>84</v>
      </c>
      <c r="C107" s="23" t="s">
        <v>19</v>
      </c>
      <c r="D107" s="24">
        <v>46302</v>
      </c>
      <c r="E107" s="23" t="s">
        <v>20</v>
      </c>
      <c r="F107" s="23" t="s">
        <v>28</v>
      </c>
      <c r="G107" s="23" t="s">
        <v>29</v>
      </c>
      <c r="H107" s="23">
        <v>5.5</v>
      </c>
      <c r="I107" s="23" t="s">
        <v>29</v>
      </c>
      <c r="J107" s="23" t="s">
        <v>59</v>
      </c>
      <c r="K107" s="38" t="s">
        <v>31</v>
      </c>
      <c r="L107" s="15"/>
      <c r="M107" s="15"/>
      <c r="N107" s="47"/>
      <c r="O107" s="15"/>
      <c r="P107" s="15"/>
      <c r="Q107" s="15"/>
      <c r="R107" s="15"/>
    </row>
    <row r="108" spans="1:18" x14ac:dyDescent="0.2">
      <c r="A108" s="23">
        <v>12</v>
      </c>
      <c r="B108" s="23" t="s">
        <v>84</v>
      </c>
      <c r="C108" s="23" t="s">
        <v>19</v>
      </c>
      <c r="D108" s="24">
        <v>46303</v>
      </c>
      <c r="E108" s="23" t="s">
        <v>33</v>
      </c>
      <c r="F108" s="23" t="s">
        <v>28</v>
      </c>
      <c r="G108" s="23" t="s">
        <v>86</v>
      </c>
      <c r="H108" s="23">
        <v>10</v>
      </c>
      <c r="I108" s="23" t="s">
        <v>87</v>
      </c>
      <c r="J108" s="23" t="s">
        <v>88</v>
      </c>
      <c r="K108" s="38" t="s">
        <v>89</v>
      </c>
      <c r="L108" s="15"/>
      <c r="M108" s="15"/>
      <c r="N108" s="47"/>
      <c r="O108" s="15"/>
      <c r="P108" s="15"/>
      <c r="Q108" s="15"/>
      <c r="R108" s="15"/>
    </row>
    <row r="109" spans="1:18" x14ac:dyDescent="0.2">
      <c r="A109" s="23">
        <v>12</v>
      </c>
      <c r="B109" s="23" t="s">
        <v>84</v>
      </c>
      <c r="C109" s="23" t="s">
        <v>19</v>
      </c>
      <c r="D109" s="24">
        <v>46304</v>
      </c>
      <c r="E109" s="23" t="s">
        <v>37</v>
      </c>
      <c r="F109" s="23" t="s">
        <v>21</v>
      </c>
      <c r="G109" s="23" t="s">
        <v>22</v>
      </c>
      <c r="H109" s="23"/>
      <c r="I109" s="23" t="s">
        <v>23</v>
      </c>
      <c r="J109" s="23" t="s">
        <v>90</v>
      </c>
      <c r="K109" s="38" t="s">
        <v>23</v>
      </c>
      <c r="L109" s="15"/>
      <c r="M109" s="15"/>
      <c r="N109" s="47"/>
      <c r="O109" s="15"/>
      <c r="P109" s="15"/>
      <c r="Q109" s="15"/>
      <c r="R109" s="15"/>
    </row>
    <row r="110" spans="1:18" x14ac:dyDescent="0.2">
      <c r="A110" s="23">
        <v>12</v>
      </c>
      <c r="B110" s="23" t="s">
        <v>84</v>
      </c>
      <c r="C110" s="23" t="s">
        <v>19</v>
      </c>
      <c r="D110" s="24">
        <v>46304</v>
      </c>
      <c r="E110" s="23" t="s">
        <v>37</v>
      </c>
      <c r="F110" s="23" t="s">
        <v>28</v>
      </c>
      <c r="G110" s="23" t="s">
        <v>29</v>
      </c>
      <c r="H110" s="23">
        <v>5.5</v>
      </c>
      <c r="I110" s="23" t="s">
        <v>29</v>
      </c>
      <c r="J110" s="23" t="s">
        <v>59</v>
      </c>
      <c r="K110" s="38" t="s">
        <v>31</v>
      </c>
      <c r="L110" s="15"/>
      <c r="M110" s="15"/>
      <c r="N110" s="47"/>
      <c r="O110" s="15"/>
      <c r="P110" s="15"/>
      <c r="Q110" s="15"/>
      <c r="R110" s="15"/>
    </row>
    <row r="111" spans="1:18" x14ac:dyDescent="0.2">
      <c r="A111" s="23">
        <v>12</v>
      </c>
      <c r="B111" s="23" t="s">
        <v>84</v>
      </c>
      <c r="C111" s="23" t="s">
        <v>19</v>
      </c>
      <c r="D111" s="24">
        <v>46305</v>
      </c>
      <c r="E111" s="23" t="s">
        <v>46</v>
      </c>
      <c r="F111" s="23" t="s">
        <v>28</v>
      </c>
      <c r="G111" s="23" t="s">
        <v>47</v>
      </c>
      <c r="H111" s="23">
        <v>22</v>
      </c>
      <c r="I111" s="23" t="s">
        <v>29</v>
      </c>
      <c r="J111" s="23" t="s">
        <v>71</v>
      </c>
      <c r="K111" s="38" t="s">
        <v>49</v>
      </c>
      <c r="L111" s="15"/>
      <c r="M111" s="15"/>
      <c r="N111" s="47"/>
      <c r="O111" s="15"/>
      <c r="P111" s="15"/>
      <c r="Q111" s="15"/>
      <c r="R111" s="15"/>
    </row>
    <row r="112" spans="1:18" x14ac:dyDescent="0.2">
      <c r="A112" s="16">
        <v>13</v>
      </c>
      <c r="B112" s="16" t="s">
        <v>84</v>
      </c>
      <c r="C112" s="16" t="s">
        <v>19</v>
      </c>
      <c r="D112" s="17">
        <v>46306</v>
      </c>
      <c r="E112" s="16" t="s">
        <v>52</v>
      </c>
      <c r="F112" s="16" t="s">
        <v>53</v>
      </c>
      <c r="G112" s="16" t="s">
        <v>54</v>
      </c>
      <c r="H112" s="16"/>
      <c r="I112" s="16" t="s">
        <v>23</v>
      </c>
      <c r="J112" s="16" t="s">
        <v>55</v>
      </c>
      <c r="K112" s="38" t="s">
        <v>23</v>
      </c>
      <c r="L112" s="15"/>
      <c r="M112" s="15"/>
      <c r="N112" s="47"/>
      <c r="O112" s="15"/>
      <c r="P112" s="15"/>
      <c r="Q112" s="15"/>
      <c r="R112" s="15"/>
    </row>
    <row r="113" spans="1:18" x14ac:dyDescent="0.2">
      <c r="A113" s="23">
        <v>13</v>
      </c>
      <c r="B113" s="23" t="s">
        <v>84</v>
      </c>
      <c r="C113" s="23" t="s">
        <v>19</v>
      </c>
      <c r="D113" s="24">
        <v>46307</v>
      </c>
      <c r="E113" s="23" t="s">
        <v>56</v>
      </c>
      <c r="F113" s="23" t="s">
        <v>21</v>
      </c>
      <c r="G113" s="23" t="s">
        <v>57</v>
      </c>
      <c r="H113" s="23"/>
      <c r="I113" s="23" t="s">
        <v>23</v>
      </c>
      <c r="J113" s="23" t="s">
        <v>58</v>
      </c>
      <c r="K113" s="38" t="s">
        <v>23</v>
      </c>
      <c r="L113" s="15"/>
      <c r="M113" s="15"/>
      <c r="N113" s="47"/>
      <c r="O113" s="15"/>
      <c r="P113" s="15"/>
      <c r="Q113" s="15"/>
      <c r="R113" s="15"/>
    </row>
    <row r="114" spans="1:18" x14ac:dyDescent="0.2">
      <c r="A114" s="23">
        <v>13</v>
      </c>
      <c r="B114" s="23" t="s">
        <v>84</v>
      </c>
      <c r="C114" s="23" t="s">
        <v>19</v>
      </c>
      <c r="D114" s="24">
        <v>46307</v>
      </c>
      <c r="E114" s="23" t="s">
        <v>56</v>
      </c>
      <c r="F114" s="23" t="s">
        <v>28</v>
      </c>
      <c r="G114" s="23" t="s">
        <v>29</v>
      </c>
      <c r="H114" s="23">
        <v>5.5</v>
      </c>
      <c r="I114" s="23" t="s">
        <v>29</v>
      </c>
      <c r="J114" s="23" t="s">
        <v>59</v>
      </c>
      <c r="K114" s="38" t="s">
        <v>31</v>
      </c>
      <c r="L114" s="15"/>
      <c r="M114" s="15"/>
      <c r="N114" s="47"/>
      <c r="O114" s="15"/>
      <c r="P114" s="15"/>
      <c r="Q114" s="15"/>
      <c r="R114" s="15"/>
    </row>
    <row r="115" spans="1:18" x14ac:dyDescent="0.2">
      <c r="A115" s="23">
        <v>13</v>
      </c>
      <c r="B115" s="23" t="s">
        <v>84</v>
      </c>
      <c r="C115" s="23" t="s">
        <v>19</v>
      </c>
      <c r="D115" s="24">
        <v>46308</v>
      </c>
      <c r="E115" s="23" t="s">
        <v>61</v>
      </c>
      <c r="F115" s="23" t="s">
        <v>28</v>
      </c>
      <c r="G115" s="23" t="s">
        <v>29</v>
      </c>
      <c r="H115" s="23">
        <v>5.5</v>
      </c>
      <c r="I115" s="23" t="s">
        <v>29</v>
      </c>
      <c r="J115" s="23" t="s">
        <v>96</v>
      </c>
      <c r="K115" s="38" t="s">
        <v>31</v>
      </c>
      <c r="L115" s="15"/>
      <c r="M115" s="15"/>
      <c r="N115" s="47"/>
      <c r="O115" s="15"/>
      <c r="P115" s="15"/>
      <c r="Q115" s="15"/>
      <c r="R115" s="15"/>
    </row>
    <row r="116" spans="1:18" x14ac:dyDescent="0.2">
      <c r="A116" s="23">
        <v>13</v>
      </c>
      <c r="B116" s="23" t="s">
        <v>84</v>
      </c>
      <c r="C116" s="23" t="s">
        <v>19</v>
      </c>
      <c r="D116" s="24">
        <v>46309</v>
      </c>
      <c r="E116" s="23" t="s">
        <v>20</v>
      </c>
      <c r="F116" s="23" t="s">
        <v>21</v>
      </c>
      <c r="G116" s="23" t="s">
        <v>43</v>
      </c>
      <c r="H116" s="23"/>
      <c r="I116" s="23" t="s">
        <v>23</v>
      </c>
      <c r="J116" s="23" t="s">
        <v>65</v>
      </c>
      <c r="K116" s="38" t="s">
        <v>23</v>
      </c>
      <c r="L116" s="15"/>
      <c r="M116" s="15"/>
      <c r="N116" s="47"/>
      <c r="O116" s="15"/>
      <c r="P116" s="15"/>
      <c r="Q116" s="15"/>
      <c r="R116" s="15"/>
    </row>
    <row r="117" spans="1:18" x14ac:dyDescent="0.2">
      <c r="A117" s="23">
        <v>13</v>
      </c>
      <c r="B117" s="23" t="s">
        <v>84</v>
      </c>
      <c r="C117" s="23" t="s">
        <v>19</v>
      </c>
      <c r="D117" s="24">
        <v>46309</v>
      </c>
      <c r="E117" s="23" t="s">
        <v>20</v>
      </c>
      <c r="F117" s="23" t="s">
        <v>28</v>
      </c>
      <c r="G117" s="23" t="s">
        <v>29</v>
      </c>
      <c r="H117" s="23">
        <v>5.5</v>
      </c>
      <c r="I117" s="23" t="s">
        <v>29</v>
      </c>
      <c r="J117" s="23" t="s">
        <v>59</v>
      </c>
      <c r="K117" s="38" t="s">
        <v>31</v>
      </c>
      <c r="L117" s="15"/>
      <c r="M117" s="15"/>
      <c r="N117" s="47"/>
      <c r="O117" s="15"/>
      <c r="P117" s="15"/>
      <c r="Q117" s="15"/>
      <c r="R117" s="15"/>
    </row>
    <row r="118" spans="1:18" x14ac:dyDescent="0.2">
      <c r="A118" s="23">
        <v>13</v>
      </c>
      <c r="B118" s="23" t="s">
        <v>84</v>
      </c>
      <c r="C118" s="23" t="s">
        <v>19</v>
      </c>
      <c r="D118" s="24">
        <v>46310</v>
      </c>
      <c r="E118" s="23" t="s">
        <v>33</v>
      </c>
      <c r="F118" s="23" t="s">
        <v>28</v>
      </c>
      <c r="G118" s="23" t="s">
        <v>86</v>
      </c>
      <c r="H118" s="23">
        <v>8</v>
      </c>
      <c r="I118" s="23" t="s">
        <v>87</v>
      </c>
      <c r="J118" s="23" t="s">
        <v>88</v>
      </c>
      <c r="K118" s="38" t="s">
        <v>89</v>
      </c>
      <c r="L118" s="15"/>
      <c r="M118" s="15"/>
      <c r="N118" s="47"/>
      <c r="O118" s="15"/>
      <c r="P118" s="15"/>
      <c r="Q118" s="15"/>
      <c r="R118" s="15"/>
    </row>
    <row r="119" spans="1:18" x14ac:dyDescent="0.2">
      <c r="A119" s="23">
        <v>13</v>
      </c>
      <c r="B119" s="23" t="s">
        <v>84</v>
      </c>
      <c r="C119" s="23" t="s">
        <v>19</v>
      </c>
      <c r="D119" s="24">
        <v>46311</v>
      </c>
      <c r="E119" s="23" t="s">
        <v>37</v>
      </c>
      <c r="F119" s="23" t="s">
        <v>21</v>
      </c>
      <c r="G119" s="23" t="s">
        <v>22</v>
      </c>
      <c r="H119" s="23"/>
      <c r="I119" s="23" t="s">
        <v>23</v>
      </c>
      <c r="J119" s="23" t="s">
        <v>90</v>
      </c>
      <c r="K119" s="38" t="s">
        <v>23</v>
      </c>
      <c r="L119" s="15"/>
      <c r="M119" s="15"/>
      <c r="N119" s="47"/>
      <c r="O119" s="15"/>
      <c r="P119" s="15"/>
      <c r="Q119" s="15"/>
      <c r="R119" s="15"/>
    </row>
    <row r="120" spans="1:18" x14ac:dyDescent="0.2">
      <c r="A120" s="23">
        <v>13</v>
      </c>
      <c r="B120" s="23" t="s">
        <v>84</v>
      </c>
      <c r="C120" s="23" t="s">
        <v>19</v>
      </c>
      <c r="D120" s="24">
        <v>46311</v>
      </c>
      <c r="E120" s="23" t="s">
        <v>37</v>
      </c>
      <c r="F120" s="23" t="s">
        <v>28</v>
      </c>
      <c r="G120" s="23" t="s">
        <v>29</v>
      </c>
      <c r="H120" s="23">
        <v>5.5</v>
      </c>
      <c r="I120" s="23" t="s">
        <v>29</v>
      </c>
      <c r="J120" s="23" t="s">
        <v>59</v>
      </c>
      <c r="K120" s="38" t="s">
        <v>31</v>
      </c>
      <c r="L120" s="15"/>
      <c r="M120" s="15"/>
      <c r="N120" s="47"/>
      <c r="O120" s="15"/>
      <c r="P120" s="15"/>
      <c r="Q120" s="15"/>
      <c r="R120" s="15"/>
    </row>
    <row r="121" spans="1:18" x14ac:dyDescent="0.2">
      <c r="A121" s="23">
        <v>13</v>
      </c>
      <c r="B121" s="23" t="s">
        <v>84</v>
      </c>
      <c r="C121" s="23" t="s">
        <v>19</v>
      </c>
      <c r="D121" s="24">
        <v>46312</v>
      </c>
      <c r="E121" s="23" t="s">
        <v>46</v>
      </c>
      <c r="F121" s="23" t="s">
        <v>28</v>
      </c>
      <c r="G121" s="23" t="s">
        <v>97</v>
      </c>
      <c r="H121" s="23">
        <v>21.1</v>
      </c>
      <c r="I121" s="23" t="s">
        <v>98</v>
      </c>
      <c r="J121" s="23" t="s">
        <v>99</v>
      </c>
      <c r="K121" s="38" t="s">
        <v>97</v>
      </c>
      <c r="L121" s="15"/>
      <c r="M121" s="15"/>
      <c r="N121" s="47"/>
      <c r="O121" s="15"/>
      <c r="P121" s="15"/>
      <c r="Q121" s="15"/>
      <c r="R121" s="15"/>
    </row>
    <row r="122" spans="1:18" x14ac:dyDescent="0.2">
      <c r="A122" s="18">
        <v>14</v>
      </c>
      <c r="B122" s="18" t="s">
        <v>100</v>
      </c>
      <c r="C122" s="18" t="s">
        <v>76</v>
      </c>
      <c r="D122" s="19">
        <v>46313</v>
      </c>
      <c r="E122" s="18" t="s">
        <v>52</v>
      </c>
      <c r="F122" s="18" t="s">
        <v>53</v>
      </c>
      <c r="G122" s="18" t="s">
        <v>54</v>
      </c>
      <c r="H122" s="18"/>
      <c r="I122" s="18" t="s">
        <v>23</v>
      </c>
      <c r="J122" s="18" t="s">
        <v>77</v>
      </c>
      <c r="K122" s="39" t="s">
        <v>23</v>
      </c>
      <c r="L122" s="20"/>
      <c r="M122" s="20"/>
      <c r="N122" s="48"/>
      <c r="O122" s="20"/>
      <c r="P122" s="20"/>
      <c r="Q122" s="20"/>
      <c r="R122" s="20"/>
    </row>
    <row r="123" spans="1:18" x14ac:dyDescent="0.2">
      <c r="A123" s="27">
        <v>14</v>
      </c>
      <c r="B123" s="27" t="s">
        <v>100</v>
      </c>
      <c r="C123" s="27" t="s">
        <v>76</v>
      </c>
      <c r="D123" s="28">
        <v>46314</v>
      </c>
      <c r="E123" s="27" t="s">
        <v>56</v>
      </c>
      <c r="F123" s="27" t="s">
        <v>21</v>
      </c>
      <c r="G123" s="27" t="s">
        <v>57</v>
      </c>
      <c r="H123" s="27"/>
      <c r="I123" s="27" t="s">
        <v>23</v>
      </c>
      <c r="J123" s="27" t="s">
        <v>58</v>
      </c>
      <c r="K123" s="39" t="s">
        <v>23</v>
      </c>
      <c r="L123" s="20"/>
      <c r="M123" s="20"/>
      <c r="N123" s="48"/>
      <c r="O123" s="20"/>
      <c r="P123" s="20"/>
      <c r="Q123" s="20"/>
      <c r="R123" s="20"/>
    </row>
    <row r="124" spans="1:18" x14ac:dyDescent="0.2">
      <c r="A124" s="27">
        <v>14</v>
      </c>
      <c r="B124" s="27" t="s">
        <v>100</v>
      </c>
      <c r="C124" s="27" t="s">
        <v>76</v>
      </c>
      <c r="D124" s="28">
        <v>46314</v>
      </c>
      <c r="E124" s="27" t="s">
        <v>56</v>
      </c>
      <c r="F124" s="27" t="s">
        <v>28</v>
      </c>
      <c r="G124" s="27" t="s">
        <v>29</v>
      </c>
      <c r="H124" s="27">
        <v>5</v>
      </c>
      <c r="I124" s="27" t="s">
        <v>29</v>
      </c>
      <c r="J124" s="27" t="s">
        <v>59</v>
      </c>
      <c r="K124" s="39" t="s">
        <v>31</v>
      </c>
      <c r="L124" s="20"/>
      <c r="M124" s="20"/>
      <c r="N124" s="48"/>
      <c r="O124" s="20"/>
      <c r="P124" s="20"/>
      <c r="Q124" s="20"/>
      <c r="R124" s="20"/>
    </row>
    <row r="125" spans="1:18" x14ac:dyDescent="0.2">
      <c r="A125" s="27">
        <v>14</v>
      </c>
      <c r="B125" s="27" t="s">
        <v>100</v>
      </c>
      <c r="C125" s="27" t="s">
        <v>76</v>
      </c>
      <c r="D125" s="28">
        <v>46315</v>
      </c>
      <c r="E125" s="27" t="s">
        <v>61</v>
      </c>
      <c r="F125" s="27" t="s">
        <v>28</v>
      </c>
      <c r="G125" s="27" t="s">
        <v>62</v>
      </c>
      <c r="H125" s="27">
        <v>6</v>
      </c>
      <c r="I125" s="27" t="s">
        <v>62</v>
      </c>
      <c r="J125" s="27" t="s">
        <v>78</v>
      </c>
      <c r="K125" s="39" t="s">
        <v>101</v>
      </c>
      <c r="L125" s="20"/>
      <c r="M125" s="20"/>
      <c r="N125" s="48"/>
      <c r="O125" s="20"/>
      <c r="P125" s="20"/>
      <c r="Q125" s="20"/>
      <c r="R125" s="20"/>
    </row>
    <row r="126" spans="1:18" x14ac:dyDescent="0.2">
      <c r="A126" s="27">
        <v>14</v>
      </c>
      <c r="B126" s="27" t="s">
        <v>100</v>
      </c>
      <c r="C126" s="27" t="s">
        <v>76</v>
      </c>
      <c r="D126" s="28">
        <v>46316</v>
      </c>
      <c r="E126" s="27" t="s">
        <v>20</v>
      </c>
      <c r="F126" s="27" t="s">
        <v>21</v>
      </c>
      <c r="G126" s="27" t="s">
        <v>43</v>
      </c>
      <c r="H126" s="27"/>
      <c r="I126" s="27" t="s">
        <v>23</v>
      </c>
      <c r="J126" s="27" t="s">
        <v>65</v>
      </c>
      <c r="K126" s="39" t="s">
        <v>23</v>
      </c>
      <c r="L126" s="20"/>
      <c r="M126" s="20"/>
      <c r="N126" s="48"/>
      <c r="O126" s="20"/>
      <c r="P126" s="20"/>
      <c r="Q126" s="20"/>
      <c r="R126" s="20"/>
    </row>
    <row r="127" spans="1:18" x14ac:dyDescent="0.2">
      <c r="A127" s="27">
        <v>14</v>
      </c>
      <c r="B127" s="27" t="s">
        <v>100</v>
      </c>
      <c r="C127" s="27" t="s">
        <v>76</v>
      </c>
      <c r="D127" s="28">
        <v>46316</v>
      </c>
      <c r="E127" s="27" t="s">
        <v>20</v>
      </c>
      <c r="F127" s="27" t="s">
        <v>28</v>
      </c>
      <c r="G127" s="27" t="s">
        <v>29</v>
      </c>
      <c r="H127" s="27">
        <v>5</v>
      </c>
      <c r="I127" s="27" t="s">
        <v>29</v>
      </c>
      <c r="J127" s="27" t="s">
        <v>59</v>
      </c>
      <c r="K127" s="39" t="s">
        <v>31</v>
      </c>
      <c r="L127" s="20"/>
      <c r="M127" s="20"/>
      <c r="N127" s="48"/>
      <c r="O127" s="20"/>
      <c r="P127" s="20"/>
      <c r="Q127" s="20"/>
      <c r="R127" s="20"/>
    </row>
    <row r="128" spans="1:18" x14ac:dyDescent="0.2">
      <c r="A128" s="27">
        <v>14</v>
      </c>
      <c r="B128" s="27" t="s">
        <v>100</v>
      </c>
      <c r="C128" s="27" t="s">
        <v>76</v>
      </c>
      <c r="D128" s="28">
        <v>46317</v>
      </c>
      <c r="E128" s="27" t="s">
        <v>33</v>
      </c>
      <c r="F128" s="27" t="s">
        <v>28</v>
      </c>
      <c r="G128" s="27" t="s">
        <v>86</v>
      </c>
      <c r="H128" s="27">
        <v>7</v>
      </c>
      <c r="I128" s="27" t="s">
        <v>87</v>
      </c>
      <c r="J128" s="27" t="s">
        <v>93</v>
      </c>
      <c r="K128" s="39" t="s">
        <v>89</v>
      </c>
      <c r="L128" s="20"/>
      <c r="M128" s="20"/>
      <c r="N128" s="48"/>
      <c r="O128" s="20"/>
      <c r="P128" s="20"/>
      <c r="Q128" s="20"/>
      <c r="R128" s="20"/>
    </row>
    <row r="129" spans="1:18" x14ac:dyDescent="0.2">
      <c r="A129" s="27">
        <v>14</v>
      </c>
      <c r="B129" s="27" t="s">
        <v>100</v>
      </c>
      <c r="C129" s="27" t="s">
        <v>76</v>
      </c>
      <c r="D129" s="28">
        <v>46318</v>
      </c>
      <c r="E129" s="27" t="s">
        <v>37</v>
      </c>
      <c r="F129" s="27" t="s">
        <v>21</v>
      </c>
      <c r="G129" s="27" t="s">
        <v>22</v>
      </c>
      <c r="H129" s="27"/>
      <c r="I129" s="27" t="s">
        <v>23</v>
      </c>
      <c r="J129" s="27" t="s">
        <v>90</v>
      </c>
      <c r="K129" s="39" t="s">
        <v>23</v>
      </c>
      <c r="L129" s="20"/>
      <c r="M129" s="20"/>
      <c r="N129" s="48"/>
      <c r="O129" s="20"/>
      <c r="P129" s="20"/>
      <c r="Q129" s="20"/>
      <c r="R129" s="20"/>
    </row>
    <row r="130" spans="1:18" x14ac:dyDescent="0.2">
      <c r="A130" s="27">
        <v>14</v>
      </c>
      <c r="B130" s="27" t="s">
        <v>100</v>
      </c>
      <c r="C130" s="27" t="s">
        <v>76</v>
      </c>
      <c r="D130" s="28">
        <v>46318</v>
      </c>
      <c r="E130" s="27" t="s">
        <v>37</v>
      </c>
      <c r="F130" s="27" t="s">
        <v>28</v>
      </c>
      <c r="G130" s="27" t="s">
        <v>29</v>
      </c>
      <c r="H130" s="27">
        <v>5</v>
      </c>
      <c r="I130" s="27" t="s">
        <v>29</v>
      </c>
      <c r="J130" s="27" t="s">
        <v>59</v>
      </c>
      <c r="K130" s="39" t="s">
        <v>31</v>
      </c>
      <c r="L130" s="20"/>
      <c r="M130" s="20"/>
      <c r="N130" s="48"/>
      <c r="O130" s="20"/>
      <c r="P130" s="20"/>
      <c r="Q130" s="20"/>
      <c r="R130" s="20"/>
    </row>
    <row r="131" spans="1:18" x14ac:dyDescent="0.2">
      <c r="A131" s="27">
        <v>14</v>
      </c>
      <c r="B131" s="27" t="s">
        <v>100</v>
      </c>
      <c r="C131" s="27" t="s">
        <v>76</v>
      </c>
      <c r="D131" s="28">
        <v>46319</v>
      </c>
      <c r="E131" s="27" t="s">
        <v>46</v>
      </c>
      <c r="F131" s="27" t="s">
        <v>28</v>
      </c>
      <c r="G131" s="27" t="s">
        <v>47</v>
      </c>
      <c r="H131" s="27">
        <v>18</v>
      </c>
      <c r="I131" s="27" t="s">
        <v>102</v>
      </c>
      <c r="J131" s="27" t="s">
        <v>103</v>
      </c>
      <c r="K131" s="39" t="s">
        <v>104</v>
      </c>
      <c r="L131" s="20"/>
      <c r="M131" s="20"/>
      <c r="N131" s="48"/>
      <c r="O131" s="20"/>
      <c r="P131" s="20"/>
      <c r="Q131" s="20"/>
      <c r="R131" s="20"/>
    </row>
    <row r="132" spans="1:18" x14ac:dyDescent="0.2">
      <c r="A132" s="16">
        <v>15</v>
      </c>
      <c r="B132" s="16" t="s">
        <v>100</v>
      </c>
      <c r="C132" s="16" t="s">
        <v>19</v>
      </c>
      <c r="D132" s="17">
        <v>46320</v>
      </c>
      <c r="E132" s="16" t="s">
        <v>52</v>
      </c>
      <c r="F132" s="16" t="s">
        <v>53</v>
      </c>
      <c r="G132" s="16" t="s">
        <v>54</v>
      </c>
      <c r="H132" s="16"/>
      <c r="I132" s="16" t="s">
        <v>23</v>
      </c>
      <c r="J132" s="16" t="s">
        <v>55</v>
      </c>
      <c r="K132" s="38" t="s">
        <v>23</v>
      </c>
      <c r="L132" s="15"/>
      <c r="M132" s="15"/>
      <c r="N132" s="47"/>
      <c r="O132" s="15"/>
      <c r="P132" s="15"/>
      <c r="Q132" s="15"/>
      <c r="R132" s="15"/>
    </row>
    <row r="133" spans="1:18" x14ac:dyDescent="0.2">
      <c r="A133" s="29">
        <v>15</v>
      </c>
      <c r="B133" s="29" t="s">
        <v>100</v>
      </c>
      <c r="C133" s="29" t="s">
        <v>19</v>
      </c>
      <c r="D133" s="30">
        <v>46321</v>
      </c>
      <c r="E133" s="29" t="s">
        <v>56</v>
      </c>
      <c r="F133" s="29" t="s">
        <v>21</v>
      </c>
      <c r="G133" s="29" t="s">
        <v>57</v>
      </c>
      <c r="H133" s="29"/>
      <c r="I133" s="29" t="s">
        <v>23</v>
      </c>
      <c r="J133" s="29" t="s">
        <v>58</v>
      </c>
      <c r="K133" s="38" t="s">
        <v>23</v>
      </c>
      <c r="L133" s="15"/>
      <c r="M133" s="15"/>
      <c r="N133" s="47"/>
      <c r="O133" s="15"/>
      <c r="P133" s="15"/>
      <c r="Q133" s="15"/>
      <c r="R133" s="15"/>
    </row>
    <row r="134" spans="1:18" x14ac:dyDescent="0.2">
      <c r="A134" s="29">
        <v>15</v>
      </c>
      <c r="B134" s="29" t="s">
        <v>100</v>
      </c>
      <c r="C134" s="29" t="s">
        <v>19</v>
      </c>
      <c r="D134" s="30">
        <v>46321</v>
      </c>
      <c r="E134" s="29" t="s">
        <v>56</v>
      </c>
      <c r="F134" s="29" t="s">
        <v>28</v>
      </c>
      <c r="G134" s="29" t="s">
        <v>29</v>
      </c>
      <c r="H134" s="29">
        <v>6.5</v>
      </c>
      <c r="I134" s="29" t="s">
        <v>29</v>
      </c>
      <c r="J134" s="29" t="s">
        <v>59</v>
      </c>
      <c r="K134" s="38" t="s">
        <v>31</v>
      </c>
      <c r="L134" s="15"/>
      <c r="M134" s="15"/>
      <c r="N134" s="47"/>
      <c r="O134" s="15"/>
      <c r="P134" s="15"/>
      <c r="Q134" s="15"/>
      <c r="R134" s="15"/>
    </row>
    <row r="135" spans="1:18" x14ac:dyDescent="0.2">
      <c r="A135" s="29">
        <v>15</v>
      </c>
      <c r="B135" s="29" t="s">
        <v>100</v>
      </c>
      <c r="C135" s="29" t="s">
        <v>19</v>
      </c>
      <c r="D135" s="30">
        <v>46322</v>
      </c>
      <c r="E135" s="29" t="s">
        <v>61</v>
      </c>
      <c r="F135" s="29" t="s">
        <v>28</v>
      </c>
      <c r="G135" s="29" t="s">
        <v>72</v>
      </c>
      <c r="H135" s="29">
        <v>7.5</v>
      </c>
      <c r="I135" s="29" t="s">
        <v>72</v>
      </c>
      <c r="J135" s="29" t="s">
        <v>73</v>
      </c>
      <c r="K135" s="38" t="s">
        <v>105</v>
      </c>
      <c r="L135" s="15"/>
      <c r="M135" s="15"/>
      <c r="N135" s="47"/>
      <c r="O135" s="15"/>
      <c r="P135" s="15"/>
      <c r="Q135" s="15"/>
      <c r="R135" s="15"/>
    </row>
    <row r="136" spans="1:18" x14ac:dyDescent="0.2">
      <c r="A136" s="29">
        <v>15</v>
      </c>
      <c r="B136" s="29" t="s">
        <v>100</v>
      </c>
      <c r="C136" s="29" t="s">
        <v>19</v>
      </c>
      <c r="D136" s="30">
        <v>46323</v>
      </c>
      <c r="E136" s="29" t="s">
        <v>20</v>
      </c>
      <c r="F136" s="29" t="s">
        <v>21</v>
      </c>
      <c r="G136" s="29" t="s">
        <v>43</v>
      </c>
      <c r="H136" s="29"/>
      <c r="I136" s="29" t="s">
        <v>23</v>
      </c>
      <c r="J136" s="29" t="s">
        <v>65</v>
      </c>
      <c r="K136" s="38" t="s">
        <v>23</v>
      </c>
      <c r="L136" s="15"/>
      <c r="M136" s="15"/>
      <c r="N136" s="47"/>
      <c r="O136" s="15"/>
      <c r="P136" s="15"/>
      <c r="Q136" s="15"/>
      <c r="R136" s="15"/>
    </row>
    <row r="137" spans="1:18" x14ac:dyDescent="0.2">
      <c r="A137" s="29">
        <v>15</v>
      </c>
      <c r="B137" s="29" t="s">
        <v>100</v>
      </c>
      <c r="C137" s="29" t="s">
        <v>19</v>
      </c>
      <c r="D137" s="30">
        <v>46323</v>
      </c>
      <c r="E137" s="29" t="s">
        <v>20</v>
      </c>
      <c r="F137" s="29" t="s">
        <v>28</v>
      </c>
      <c r="G137" s="29" t="s">
        <v>29</v>
      </c>
      <c r="H137" s="29">
        <v>6.5</v>
      </c>
      <c r="I137" s="29" t="s">
        <v>29</v>
      </c>
      <c r="J137" s="29" t="s">
        <v>59</v>
      </c>
      <c r="K137" s="38" t="s">
        <v>31</v>
      </c>
      <c r="L137" s="15"/>
      <c r="M137" s="15"/>
      <c r="N137" s="47"/>
      <c r="O137" s="15"/>
      <c r="P137" s="15"/>
      <c r="Q137" s="15"/>
      <c r="R137" s="15"/>
    </row>
    <row r="138" spans="1:18" x14ac:dyDescent="0.2">
      <c r="A138" s="29">
        <v>15</v>
      </c>
      <c r="B138" s="29" t="s">
        <v>100</v>
      </c>
      <c r="C138" s="29" t="s">
        <v>19</v>
      </c>
      <c r="D138" s="30">
        <v>46324</v>
      </c>
      <c r="E138" s="29" t="s">
        <v>33</v>
      </c>
      <c r="F138" s="29" t="s">
        <v>28</v>
      </c>
      <c r="G138" s="29" t="s">
        <v>86</v>
      </c>
      <c r="H138" s="29">
        <v>11</v>
      </c>
      <c r="I138" s="29" t="s">
        <v>87</v>
      </c>
      <c r="J138" s="29" t="s">
        <v>88</v>
      </c>
      <c r="K138" s="38" t="s">
        <v>89</v>
      </c>
      <c r="L138" s="15"/>
      <c r="M138" s="15"/>
      <c r="N138" s="47"/>
      <c r="O138" s="15"/>
      <c r="P138" s="15"/>
      <c r="Q138" s="15"/>
      <c r="R138" s="15"/>
    </row>
    <row r="139" spans="1:18" x14ac:dyDescent="0.2">
      <c r="A139" s="29">
        <v>15</v>
      </c>
      <c r="B139" s="29" t="s">
        <v>100</v>
      </c>
      <c r="C139" s="29" t="s">
        <v>19</v>
      </c>
      <c r="D139" s="30">
        <v>46325</v>
      </c>
      <c r="E139" s="29" t="s">
        <v>37</v>
      </c>
      <c r="F139" s="29" t="s">
        <v>21</v>
      </c>
      <c r="G139" s="29" t="s">
        <v>22</v>
      </c>
      <c r="H139" s="29"/>
      <c r="I139" s="29" t="s">
        <v>23</v>
      </c>
      <c r="J139" s="29" t="s">
        <v>90</v>
      </c>
      <c r="K139" s="38" t="s">
        <v>23</v>
      </c>
      <c r="L139" s="15"/>
      <c r="M139" s="15"/>
      <c r="N139" s="47"/>
      <c r="O139" s="15"/>
      <c r="P139" s="15"/>
      <c r="Q139" s="15"/>
      <c r="R139" s="15"/>
    </row>
    <row r="140" spans="1:18" x14ac:dyDescent="0.2">
      <c r="A140" s="29">
        <v>15</v>
      </c>
      <c r="B140" s="29" t="s">
        <v>100</v>
      </c>
      <c r="C140" s="29" t="s">
        <v>19</v>
      </c>
      <c r="D140" s="30">
        <v>46325</v>
      </c>
      <c r="E140" s="29" t="s">
        <v>37</v>
      </c>
      <c r="F140" s="29" t="s">
        <v>28</v>
      </c>
      <c r="G140" s="29" t="s">
        <v>29</v>
      </c>
      <c r="H140" s="29">
        <v>6.5</v>
      </c>
      <c r="I140" s="29" t="s">
        <v>29</v>
      </c>
      <c r="J140" s="29" t="s">
        <v>59</v>
      </c>
      <c r="K140" s="38" t="s">
        <v>31</v>
      </c>
      <c r="L140" s="15"/>
      <c r="M140" s="15"/>
      <c r="N140" s="47"/>
      <c r="O140" s="15"/>
      <c r="P140" s="15"/>
      <c r="Q140" s="15"/>
      <c r="R140" s="15"/>
    </row>
    <row r="141" spans="1:18" x14ac:dyDescent="0.2">
      <c r="A141" s="29">
        <v>15</v>
      </c>
      <c r="B141" s="29" t="s">
        <v>100</v>
      </c>
      <c r="C141" s="29" t="s">
        <v>19</v>
      </c>
      <c r="D141" s="30">
        <v>46326</v>
      </c>
      <c r="E141" s="29" t="s">
        <v>46</v>
      </c>
      <c r="F141" s="29" t="s">
        <v>28</v>
      </c>
      <c r="G141" s="29" t="s">
        <v>47</v>
      </c>
      <c r="H141" s="29">
        <v>24</v>
      </c>
      <c r="I141" s="29" t="s">
        <v>102</v>
      </c>
      <c r="J141" s="29" t="s">
        <v>106</v>
      </c>
      <c r="K141" s="38" t="s">
        <v>104</v>
      </c>
      <c r="L141" s="15"/>
      <c r="M141" s="15"/>
      <c r="N141" s="47"/>
      <c r="O141" s="15"/>
      <c r="P141" s="15"/>
      <c r="Q141" s="15"/>
      <c r="R141" s="15"/>
    </row>
    <row r="142" spans="1:18" x14ac:dyDescent="0.2">
      <c r="A142" s="16">
        <v>16</v>
      </c>
      <c r="B142" s="16" t="s">
        <v>100</v>
      </c>
      <c r="C142" s="16" t="s">
        <v>19</v>
      </c>
      <c r="D142" s="17">
        <v>46327</v>
      </c>
      <c r="E142" s="16" t="s">
        <v>52</v>
      </c>
      <c r="F142" s="16" t="s">
        <v>53</v>
      </c>
      <c r="G142" s="16" t="s">
        <v>54</v>
      </c>
      <c r="H142" s="16"/>
      <c r="I142" s="16" t="s">
        <v>23</v>
      </c>
      <c r="J142" s="16" t="s">
        <v>55</v>
      </c>
      <c r="K142" s="38" t="s">
        <v>23</v>
      </c>
      <c r="L142" s="15"/>
      <c r="M142" s="15"/>
      <c r="N142" s="47"/>
      <c r="O142" s="15"/>
      <c r="P142" s="15"/>
      <c r="Q142" s="15"/>
      <c r="R142" s="15"/>
    </row>
    <row r="143" spans="1:18" x14ac:dyDescent="0.2">
      <c r="A143" s="29">
        <v>16</v>
      </c>
      <c r="B143" s="29" t="s">
        <v>100</v>
      </c>
      <c r="C143" s="29" t="s">
        <v>19</v>
      </c>
      <c r="D143" s="30">
        <v>46328</v>
      </c>
      <c r="E143" s="29" t="s">
        <v>56</v>
      </c>
      <c r="F143" s="29" t="s">
        <v>21</v>
      </c>
      <c r="G143" s="29" t="s">
        <v>57</v>
      </c>
      <c r="H143" s="29"/>
      <c r="I143" s="29" t="s">
        <v>23</v>
      </c>
      <c r="J143" s="29" t="s">
        <v>58</v>
      </c>
      <c r="K143" s="38" t="s">
        <v>23</v>
      </c>
      <c r="L143" s="15"/>
      <c r="M143" s="15"/>
      <c r="N143" s="47"/>
      <c r="O143" s="15"/>
      <c r="P143" s="15"/>
      <c r="Q143" s="15"/>
      <c r="R143" s="15"/>
    </row>
    <row r="144" spans="1:18" x14ac:dyDescent="0.2">
      <c r="A144" s="29">
        <v>16</v>
      </c>
      <c r="B144" s="29" t="s">
        <v>100</v>
      </c>
      <c r="C144" s="29" t="s">
        <v>19</v>
      </c>
      <c r="D144" s="30">
        <v>46328</v>
      </c>
      <c r="E144" s="29" t="s">
        <v>56</v>
      </c>
      <c r="F144" s="29" t="s">
        <v>28</v>
      </c>
      <c r="G144" s="29" t="s">
        <v>29</v>
      </c>
      <c r="H144" s="29">
        <v>6.5</v>
      </c>
      <c r="I144" s="29" t="s">
        <v>29</v>
      </c>
      <c r="J144" s="29" t="s">
        <v>59</v>
      </c>
      <c r="K144" s="38" t="s">
        <v>31</v>
      </c>
      <c r="L144" s="15"/>
      <c r="M144" s="15"/>
      <c r="N144" s="47"/>
      <c r="O144" s="15"/>
      <c r="P144" s="15"/>
      <c r="Q144" s="15"/>
      <c r="R144" s="15"/>
    </row>
    <row r="145" spans="1:18" x14ac:dyDescent="0.2">
      <c r="A145" s="29">
        <v>16</v>
      </c>
      <c r="B145" s="29" t="s">
        <v>100</v>
      </c>
      <c r="C145" s="29" t="s">
        <v>19</v>
      </c>
      <c r="D145" s="30">
        <v>46329</v>
      </c>
      <c r="E145" s="29" t="s">
        <v>61</v>
      </c>
      <c r="F145" s="29" t="s">
        <v>28</v>
      </c>
      <c r="G145" s="29" t="s">
        <v>62</v>
      </c>
      <c r="H145" s="29">
        <v>7.5</v>
      </c>
      <c r="I145" s="29" t="s">
        <v>62</v>
      </c>
      <c r="J145" s="29" t="s">
        <v>63</v>
      </c>
      <c r="K145" s="38" t="s">
        <v>107</v>
      </c>
      <c r="L145" s="15"/>
      <c r="M145" s="15"/>
      <c r="N145" s="47"/>
      <c r="O145" s="15"/>
      <c r="P145" s="15"/>
      <c r="Q145" s="15"/>
      <c r="R145" s="15"/>
    </row>
    <row r="146" spans="1:18" x14ac:dyDescent="0.2">
      <c r="A146" s="29">
        <v>16</v>
      </c>
      <c r="B146" s="29" t="s">
        <v>100</v>
      </c>
      <c r="C146" s="29" t="s">
        <v>19</v>
      </c>
      <c r="D146" s="30">
        <v>46330</v>
      </c>
      <c r="E146" s="29" t="s">
        <v>20</v>
      </c>
      <c r="F146" s="29" t="s">
        <v>21</v>
      </c>
      <c r="G146" s="29" t="s">
        <v>43</v>
      </c>
      <c r="H146" s="29"/>
      <c r="I146" s="29" t="s">
        <v>23</v>
      </c>
      <c r="J146" s="29" t="s">
        <v>65</v>
      </c>
      <c r="K146" s="38" t="s">
        <v>23</v>
      </c>
      <c r="L146" s="15"/>
      <c r="M146" s="15"/>
      <c r="N146" s="47"/>
      <c r="O146" s="15"/>
      <c r="P146" s="15"/>
      <c r="Q146" s="15"/>
      <c r="R146" s="15"/>
    </row>
    <row r="147" spans="1:18" x14ac:dyDescent="0.2">
      <c r="A147" s="29">
        <v>16</v>
      </c>
      <c r="B147" s="29" t="s">
        <v>100</v>
      </c>
      <c r="C147" s="29" t="s">
        <v>19</v>
      </c>
      <c r="D147" s="30">
        <v>46330</v>
      </c>
      <c r="E147" s="29" t="s">
        <v>20</v>
      </c>
      <c r="F147" s="29" t="s">
        <v>28</v>
      </c>
      <c r="G147" s="29" t="s">
        <v>29</v>
      </c>
      <c r="H147" s="29">
        <v>6.5</v>
      </c>
      <c r="I147" s="29" t="s">
        <v>29</v>
      </c>
      <c r="J147" s="29" t="s">
        <v>59</v>
      </c>
      <c r="K147" s="38" t="s">
        <v>31</v>
      </c>
      <c r="L147" s="15"/>
      <c r="M147" s="15"/>
      <c r="N147" s="47"/>
      <c r="O147" s="15"/>
      <c r="P147" s="15"/>
      <c r="Q147" s="15"/>
      <c r="R147" s="15"/>
    </row>
    <row r="148" spans="1:18" x14ac:dyDescent="0.2">
      <c r="A148" s="29">
        <v>16</v>
      </c>
      <c r="B148" s="29" t="s">
        <v>100</v>
      </c>
      <c r="C148" s="29" t="s">
        <v>19</v>
      </c>
      <c r="D148" s="30">
        <v>46331</v>
      </c>
      <c r="E148" s="29" t="s">
        <v>33</v>
      </c>
      <c r="F148" s="29" t="s">
        <v>28</v>
      </c>
      <c r="G148" s="29" t="s">
        <v>86</v>
      </c>
      <c r="H148" s="29">
        <v>12</v>
      </c>
      <c r="I148" s="29" t="s">
        <v>87</v>
      </c>
      <c r="J148" s="29" t="s">
        <v>88</v>
      </c>
      <c r="K148" s="38" t="s">
        <v>89</v>
      </c>
      <c r="L148" s="15"/>
      <c r="M148" s="15"/>
      <c r="N148" s="47"/>
      <c r="O148" s="15"/>
      <c r="P148" s="15"/>
      <c r="Q148" s="15"/>
      <c r="R148" s="15"/>
    </row>
    <row r="149" spans="1:18" x14ac:dyDescent="0.2">
      <c r="A149" s="29">
        <v>16</v>
      </c>
      <c r="B149" s="29" t="s">
        <v>100</v>
      </c>
      <c r="C149" s="29" t="s">
        <v>19</v>
      </c>
      <c r="D149" s="30">
        <v>46332</v>
      </c>
      <c r="E149" s="29" t="s">
        <v>37</v>
      </c>
      <c r="F149" s="29" t="s">
        <v>21</v>
      </c>
      <c r="G149" s="29" t="s">
        <v>22</v>
      </c>
      <c r="H149" s="29"/>
      <c r="I149" s="29" t="s">
        <v>23</v>
      </c>
      <c r="J149" s="29" t="s">
        <v>90</v>
      </c>
      <c r="K149" s="38" t="s">
        <v>23</v>
      </c>
      <c r="L149" s="15"/>
      <c r="M149" s="15"/>
      <c r="N149" s="47"/>
      <c r="O149" s="15"/>
      <c r="P149" s="15"/>
      <c r="Q149" s="15"/>
      <c r="R149" s="15"/>
    </row>
    <row r="150" spans="1:18" x14ac:dyDescent="0.2">
      <c r="A150" s="29">
        <v>16</v>
      </c>
      <c r="B150" s="29" t="s">
        <v>100</v>
      </c>
      <c r="C150" s="29" t="s">
        <v>19</v>
      </c>
      <c r="D150" s="30">
        <v>46332</v>
      </c>
      <c r="E150" s="29" t="s">
        <v>37</v>
      </c>
      <c r="F150" s="29" t="s">
        <v>28</v>
      </c>
      <c r="G150" s="29" t="s">
        <v>29</v>
      </c>
      <c r="H150" s="29">
        <v>6.5</v>
      </c>
      <c r="I150" s="29" t="s">
        <v>29</v>
      </c>
      <c r="J150" s="29" t="s">
        <v>59</v>
      </c>
      <c r="K150" s="38" t="s">
        <v>31</v>
      </c>
      <c r="L150" s="15"/>
      <c r="M150" s="15"/>
      <c r="N150" s="47"/>
      <c r="O150" s="15"/>
      <c r="P150" s="15"/>
      <c r="Q150" s="15"/>
      <c r="R150" s="15"/>
    </row>
    <row r="151" spans="1:18" x14ac:dyDescent="0.2">
      <c r="A151" s="29">
        <v>16</v>
      </c>
      <c r="B151" s="29" t="s">
        <v>100</v>
      </c>
      <c r="C151" s="29" t="s">
        <v>19</v>
      </c>
      <c r="D151" s="30">
        <v>46333</v>
      </c>
      <c r="E151" s="29" t="s">
        <v>46</v>
      </c>
      <c r="F151" s="29" t="s">
        <v>28</v>
      </c>
      <c r="G151" s="29" t="s">
        <v>47</v>
      </c>
      <c r="H151" s="29">
        <v>27</v>
      </c>
      <c r="I151" s="29" t="s">
        <v>102</v>
      </c>
      <c r="J151" s="29" t="s">
        <v>106</v>
      </c>
      <c r="K151" s="38" t="s">
        <v>104</v>
      </c>
      <c r="L151" s="15"/>
      <c r="M151" s="15"/>
      <c r="N151" s="47"/>
      <c r="O151" s="15"/>
      <c r="P151" s="15"/>
      <c r="Q151" s="15"/>
      <c r="R151" s="15"/>
    </row>
    <row r="152" spans="1:18" x14ac:dyDescent="0.2">
      <c r="A152" s="16">
        <v>17</v>
      </c>
      <c r="B152" s="16" t="s">
        <v>100</v>
      </c>
      <c r="C152" s="16" t="s">
        <v>19</v>
      </c>
      <c r="D152" s="17">
        <v>46334</v>
      </c>
      <c r="E152" s="16" t="s">
        <v>52</v>
      </c>
      <c r="F152" s="16" t="s">
        <v>53</v>
      </c>
      <c r="G152" s="16" t="s">
        <v>54</v>
      </c>
      <c r="H152" s="16"/>
      <c r="I152" s="16" t="s">
        <v>23</v>
      </c>
      <c r="J152" s="16" t="s">
        <v>55</v>
      </c>
      <c r="K152" s="38" t="s">
        <v>23</v>
      </c>
      <c r="L152" s="15"/>
      <c r="M152" s="15"/>
      <c r="N152" s="47"/>
      <c r="O152" s="15"/>
      <c r="P152" s="15"/>
      <c r="Q152" s="15"/>
      <c r="R152" s="15"/>
    </row>
    <row r="153" spans="1:18" x14ac:dyDescent="0.2">
      <c r="A153" s="29">
        <v>17</v>
      </c>
      <c r="B153" s="29" t="s">
        <v>100</v>
      </c>
      <c r="C153" s="29" t="s">
        <v>19</v>
      </c>
      <c r="D153" s="30">
        <v>46335</v>
      </c>
      <c r="E153" s="29" t="s">
        <v>56</v>
      </c>
      <c r="F153" s="29" t="s">
        <v>21</v>
      </c>
      <c r="G153" s="29" t="s">
        <v>57</v>
      </c>
      <c r="H153" s="29"/>
      <c r="I153" s="29" t="s">
        <v>23</v>
      </c>
      <c r="J153" s="29" t="s">
        <v>58</v>
      </c>
      <c r="K153" s="38" t="s">
        <v>23</v>
      </c>
      <c r="L153" s="15"/>
      <c r="M153" s="15"/>
      <c r="N153" s="47"/>
      <c r="O153" s="15"/>
      <c r="P153" s="15"/>
      <c r="Q153" s="15"/>
      <c r="R153" s="15"/>
    </row>
    <row r="154" spans="1:18" x14ac:dyDescent="0.2">
      <c r="A154" s="29">
        <v>17</v>
      </c>
      <c r="B154" s="29" t="s">
        <v>100</v>
      </c>
      <c r="C154" s="29" t="s">
        <v>19</v>
      </c>
      <c r="D154" s="30">
        <v>46335</v>
      </c>
      <c r="E154" s="29" t="s">
        <v>56</v>
      </c>
      <c r="F154" s="29" t="s">
        <v>28</v>
      </c>
      <c r="G154" s="29" t="s">
        <v>29</v>
      </c>
      <c r="H154" s="29">
        <v>6.5</v>
      </c>
      <c r="I154" s="29" t="s">
        <v>29</v>
      </c>
      <c r="J154" s="29" t="s">
        <v>59</v>
      </c>
      <c r="K154" s="38" t="s">
        <v>31</v>
      </c>
      <c r="L154" s="15"/>
      <c r="M154" s="15"/>
      <c r="N154" s="47"/>
      <c r="O154" s="15"/>
      <c r="P154" s="15"/>
      <c r="Q154" s="15"/>
      <c r="R154" s="15"/>
    </row>
    <row r="155" spans="1:18" x14ac:dyDescent="0.2">
      <c r="A155" s="29">
        <v>17</v>
      </c>
      <c r="B155" s="29" t="s">
        <v>100</v>
      </c>
      <c r="C155" s="29" t="s">
        <v>19</v>
      </c>
      <c r="D155" s="30">
        <v>46336</v>
      </c>
      <c r="E155" s="29" t="s">
        <v>61</v>
      </c>
      <c r="F155" s="29" t="s">
        <v>28</v>
      </c>
      <c r="G155" s="29" t="s">
        <v>72</v>
      </c>
      <c r="H155" s="29">
        <v>7.5</v>
      </c>
      <c r="I155" s="29" t="s">
        <v>72</v>
      </c>
      <c r="J155" s="29" t="s">
        <v>73</v>
      </c>
      <c r="K155" s="38" t="s">
        <v>108</v>
      </c>
      <c r="L155" s="15"/>
      <c r="M155" s="15"/>
      <c r="N155" s="47"/>
      <c r="O155" s="15"/>
      <c r="P155" s="15"/>
      <c r="Q155" s="15"/>
      <c r="R155" s="15"/>
    </row>
    <row r="156" spans="1:18" x14ac:dyDescent="0.2">
      <c r="A156" s="29">
        <v>17</v>
      </c>
      <c r="B156" s="29" t="s">
        <v>100</v>
      </c>
      <c r="C156" s="29" t="s">
        <v>19</v>
      </c>
      <c r="D156" s="30">
        <v>46337</v>
      </c>
      <c r="E156" s="29" t="s">
        <v>20</v>
      </c>
      <c r="F156" s="29" t="s">
        <v>21</v>
      </c>
      <c r="G156" s="29" t="s">
        <v>43</v>
      </c>
      <c r="H156" s="29"/>
      <c r="I156" s="29" t="s">
        <v>23</v>
      </c>
      <c r="J156" s="29" t="s">
        <v>65</v>
      </c>
      <c r="K156" s="38" t="s">
        <v>23</v>
      </c>
      <c r="L156" s="15"/>
      <c r="M156" s="15"/>
      <c r="N156" s="47"/>
      <c r="O156" s="15"/>
      <c r="P156" s="15"/>
      <c r="Q156" s="15"/>
      <c r="R156" s="15"/>
    </row>
    <row r="157" spans="1:18" x14ac:dyDescent="0.2">
      <c r="A157" s="29">
        <v>17</v>
      </c>
      <c r="B157" s="29" t="s">
        <v>100</v>
      </c>
      <c r="C157" s="29" t="s">
        <v>19</v>
      </c>
      <c r="D157" s="30">
        <v>46337</v>
      </c>
      <c r="E157" s="29" t="s">
        <v>20</v>
      </c>
      <c r="F157" s="29" t="s">
        <v>28</v>
      </c>
      <c r="G157" s="29" t="s">
        <v>29</v>
      </c>
      <c r="H157" s="29">
        <v>6.5</v>
      </c>
      <c r="I157" s="29" t="s">
        <v>29</v>
      </c>
      <c r="J157" s="29" t="s">
        <v>59</v>
      </c>
      <c r="K157" s="38" t="s">
        <v>31</v>
      </c>
      <c r="L157" s="15"/>
      <c r="M157" s="15"/>
      <c r="N157" s="47"/>
      <c r="O157" s="15"/>
      <c r="P157" s="15"/>
      <c r="Q157" s="15"/>
      <c r="R157" s="15"/>
    </row>
    <row r="158" spans="1:18" x14ac:dyDescent="0.2">
      <c r="A158" s="29">
        <v>17</v>
      </c>
      <c r="B158" s="29" t="s">
        <v>100</v>
      </c>
      <c r="C158" s="29" t="s">
        <v>19</v>
      </c>
      <c r="D158" s="30">
        <v>46338</v>
      </c>
      <c r="E158" s="29" t="s">
        <v>33</v>
      </c>
      <c r="F158" s="29" t="s">
        <v>28</v>
      </c>
      <c r="G158" s="29" t="s">
        <v>86</v>
      </c>
      <c r="H158" s="29">
        <v>13</v>
      </c>
      <c r="I158" s="29" t="s">
        <v>87</v>
      </c>
      <c r="J158" s="29" t="s">
        <v>88</v>
      </c>
      <c r="K158" s="38" t="s">
        <v>89</v>
      </c>
      <c r="L158" s="15"/>
      <c r="M158" s="15"/>
      <c r="N158" s="47"/>
      <c r="O158" s="15"/>
      <c r="P158" s="15"/>
      <c r="Q158" s="15"/>
      <c r="R158" s="15"/>
    </row>
    <row r="159" spans="1:18" x14ac:dyDescent="0.2">
      <c r="A159" s="29">
        <v>17</v>
      </c>
      <c r="B159" s="29" t="s">
        <v>100</v>
      </c>
      <c r="C159" s="29" t="s">
        <v>19</v>
      </c>
      <c r="D159" s="30">
        <v>46339</v>
      </c>
      <c r="E159" s="29" t="s">
        <v>37</v>
      </c>
      <c r="F159" s="29" t="s">
        <v>21</v>
      </c>
      <c r="G159" s="29" t="s">
        <v>22</v>
      </c>
      <c r="H159" s="29"/>
      <c r="I159" s="29" t="s">
        <v>23</v>
      </c>
      <c r="J159" s="29" t="s">
        <v>90</v>
      </c>
      <c r="K159" s="38" t="s">
        <v>23</v>
      </c>
      <c r="L159" s="15"/>
      <c r="M159" s="15"/>
      <c r="N159" s="47"/>
      <c r="O159" s="15"/>
      <c r="P159" s="15"/>
      <c r="Q159" s="15"/>
      <c r="R159" s="15"/>
    </row>
    <row r="160" spans="1:18" x14ac:dyDescent="0.2">
      <c r="A160" s="29">
        <v>17</v>
      </c>
      <c r="B160" s="29" t="s">
        <v>100</v>
      </c>
      <c r="C160" s="29" t="s">
        <v>19</v>
      </c>
      <c r="D160" s="30">
        <v>46339</v>
      </c>
      <c r="E160" s="29" t="s">
        <v>37</v>
      </c>
      <c r="F160" s="29" t="s">
        <v>28</v>
      </c>
      <c r="G160" s="29" t="s">
        <v>29</v>
      </c>
      <c r="H160" s="29">
        <v>6.5</v>
      </c>
      <c r="I160" s="29" t="s">
        <v>29</v>
      </c>
      <c r="J160" s="29" t="s">
        <v>59</v>
      </c>
      <c r="K160" s="38" t="s">
        <v>31</v>
      </c>
      <c r="L160" s="15"/>
      <c r="M160" s="15"/>
      <c r="N160" s="47"/>
      <c r="O160" s="15"/>
      <c r="P160" s="15"/>
      <c r="Q160" s="15"/>
      <c r="R160" s="15"/>
    </row>
    <row r="161" spans="1:18" x14ac:dyDescent="0.2">
      <c r="A161" s="29">
        <v>17</v>
      </c>
      <c r="B161" s="29" t="s">
        <v>100</v>
      </c>
      <c r="C161" s="29" t="s">
        <v>19</v>
      </c>
      <c r="D161" s="30">
        <v>46340</v>
      </c>
      <c r="E161" s="29" t="s">
        <v>46</v>
      </c>
      <c r="F161" s="29" t="s">
        <v>28</v>
      </c>
      <c r="G161" s="29" t="s">
        <v>47</v>
      </c>
      <c r="H161" s="29">
        <v>30</v>
      </c>
      <c r="I161" s="29" t="s">
        <v>102</v>
      </c>
      <c r="J161" s="29" t="s">
        <v>106</v>
      </c>
      <c r="K161" s="38" t="s">
        <v>104</v>
      </c>
      <c r="L161" s="15"/>
      <c r="M161" s="15"/>
      <c r="N161" s="47"/>
      <c r="O161" s="15"/>
      <c r="P161" s="15"/>
      <c r="Q161" s="15"/>
      <c r="R161" s="15"/>
    </row>
    <row r="162" spans="1:18" x14ac:dyDescent="0.2">
      <c r="A162" s="16">
        <v>18</v>
      </c>
      <c r="B162" s="16" t="s">
        <v>100</v>
      </c>
      <c r="C162" s="16" t="s">
        <v>19</v>
      </c>
      <c r="D162" s="17">
        <v>46341</v>
      </c>
      <c r="E162" s="16" t="s">
        <v>52</v>
      </c>
      <c r="F162" s="16" t="s">
        <v>53</v>
      </c>
      <c r="G162" s="16" t="s">
        <v>54</v>
      </c>
      <c r="H162" s="16"/>
      <c r="I162" s="16" t="s">
        <v>23</v>
      </c>
      <c r="J162" s="16" t="s">
        <v>55</v>
      </c>
      <c r="K162" s="38" t="s">
        <v>23</v>
      </c>
      <c r="L162" s="15"/>
      <c r="M162" s="15"/>
      <c r="N162" s="47"/>
      <c r="O162" s="15"/>
      <c r="P162" s="15"/>
      <c r="Q162" s="15"/>
      <c r="R162" s="15"/>
    </row>
    <row r="163" spans="1:18" x14ac:dyDescent="0.2">
      <c r="A163" s="29">
        <v>18</v>
      </c>
      <c r="B163" s="29" t="s">
        <v>100</v>
      </c>
      <c r="C163" s="29" t="s">
        <v>19</v>
      </c>
      <c r="D163" s="30">
        <v>46342</v>
      </c>
      <c r="E163" s="29" t="s">
        <v>56</v>
      </c>
      <c r="F163" s="29" t="s">
        <v>21</v>
      </c>
      <c r="G163" s="29" t="s">
        <v>57</v>
      </c>
      <c r="H163" s="29"/>
      <c r="I163" s="29" t="s">
        <v>23</v>
      </c>
      <c r="J163" s="29" t="s">
        <v>58</v>
      </c>
      <c r="K163" s="38" t="s">
        <v>23</v>
      </c>
      <c r="L163" s="15"/>
      <c r="M163" s="15"/>
      <c r="N163" s="47"/>
      <c r="O163" s="15"/>
      <c r="P163" s="15"/>
      <c r="Q163" s="15"/>
      <c r="R163" s="15"/>
    </row>
    <row r="164" spans="1:18" x14ac:dyDescent="0.2">
      <c r="A164" s="29">
        <v>18</v>
      </c>
      <c r="B164" s="29" t="s">
        <v>100</v>
      </c>
      <c r="C164" s="29" t="s">
        <v>19</v>
      </c>
      <c r="D164" s="30">
        <v>46342</v>
      </c>
      <c r="E164" s="29" t="s">
        <v>56</v>
      </c>
      <c r="F164" s="29" t="s">
        <v>28</v>
      </c>
      <c r="G164" s="29" t="s">
        <v>29</v>
      </c>
      <c r="H164" s="29">
        <v>6.5</v>
      </c>
      <c r="I164" s="29" t="s">
        <v>29</v>
      </c>
      <c r="J164" s="29" t="s">
        <v>59</v>
      </c>
      <c r="K164" s="38" t="s">
        <v>31</v>
      </c>
      <c r="L164" s="15"/>
      <c r="M164" s="15"/>
      <c r="N164" s="47"/>
      <c r="O164" s="15"/>
      <c r="P164" s="15"/>
      <c r="Q164" s="15"/>
      <c r="R164" s="15"/>
    </row>
    <row r="165" spans="1:18" x14ac:dyDescent="0.2">
      <c r="A165" s="29">
        <v>18</v>
      </c>
      <c r="B165" s="29" t="s">
        <v>100</v>
      </c>
      <c r="C165" s="29" t="s">
        <v>19</v>
      </c>
      <c r="D165" s="30">
        <v>46343</v>
      </c>
      <c r="E165" s="29" t="s">
        <v>61</v>
      </c>
      <c r="F165" s="29" t="s">
        <v>28</v>
      </c>
      <c r="G165" s="29" t="s">
        <v>62</v>
      </c>
      <c r="H165" s="29">
        <v>7.5</v>
      </c>
      <c r="I165" s="29" t="s">
        <v>62</v>
      </c>
      <c r="J165" s="29" t="s">
        <v>63</v>
      </c>
      <c r="K165" s="38" t="s">
        <v>109</v>
      </c>
      <c r="L165" s="15"/>
      <c r="M165" s="15"/>
      <c r="N165" s="47"/>
      <c r="O165" s="15"/>
      <c r="P165" s="15"/>
      <c r="Q165" s="15"/>
      <c r="R165" s="15"/>
    </row>
    <row r="166" spans="1:18" x14ac:dyDescent="0.2">
      <c r="A166" s="29">
        <v>18</v>
      </c>
      <c r="B166" s="29" t="s">
        <v>100</v>
      </c>
      <c r="C166" s="29" t="s">
        <v>19</v>
      </c>
      <c r="D166" s="30">
        <v>46344</v>
      </c>
      <c r="E166" s="29" t="s">
        <v>20</v>
      </c>
      <c r="F166" s="29" t="s">
        <v>21</v>
      </c>
      <c r="G166" s="29" t="s">
        <v>43</v>
      </c>
      <c r="H166" s="29"/>
      <c r="I166" s="29" t="s">
        <v>23</v>
      </c>
      <c r="J166" s="29" t="s">
        <v>65</v>
      </c>
      <c r="K166" s="38" t="s">
        <v>23</v>
      </c>
      <c r="L166" s="15"/>
      <c r="M166" s="15"/>
      <c r="N166" s="47"/>
      <c r="O166" s="15"/>
      <c r="P166" s="15"/>
      <c r="Q166" s="15"/>
      <c r="R166" s="15"/>
    </row>
    <row r="167" spans="1:18" x14ac:dyDescent="0.2">
      <c r="A167" s="29">
        <v>18</v>
      </c>
      <c r="B167" s="29" t="s">
        <v>100</v>
      </c>
      <c r="C167" s="29" t="s">
        <v>19</v>
      </c>
      <c r="D167" s="30">
        <v>46344</v>
      </c>
      <c r="E167" s="29" t="s">
        <v>20</v>
      </c>
      <c r="F167" s="29" t="s">
        <v>28</v>
      </c>
      <c r="G167" s="29" t="s">
        <v>29</v>
      </c>
      <c r="H167" s="29">
        <v>6.5</v>
      </c>
      <c r="I167" s="29" t="s">
        <v>29</v>
      </c>
      <c r="J167" s="29" t="s">
        <v>59</v>
      </c>
      <c r="K167" s="38" t="s">
        <v>31</v>
      </c>
      <c r="L167" s="15"/>
      <c r="M167" s="15"/>
      <c r="N167" s="47"/>
      <c r="O167" s="15"/>
      <c r="P167" s="15"/>
      <c r="Q167" s="15"/>
      <c r="R167" s="15"/>
    </row>
    <row r="168" spans="1:18" x14ac:dyDescent="0.2">
      <c r="A168" s="29">
        <v>18</v>
      </c>
      <c r="B168" s="29" t="s">
        <v>100</v>
      </c>
      <c r="C168" s="29" t="s">
        <v>19</v>
      </c>
      <c r="D168" s="30">
        <v>46345</v>
      </c>
      <c r="E168" s="29" t="s">
        <v>33</v>
      </c>
      <c r="F168" s="29" t="s">
        <v>28</v>
      </c>
      <c r="G168" s="29" t="s">
        <v>86</v>
      </c>
      <c r="H168" s="29">
        <v>14</v>
      </c>
      <c r="I168" s="29" t="s">
        <v>87</v>
      </c>
      <c r="J168" s="29" t="s">
        <v>88</v>
      </c>
      <c r="K168" s="38" t="s">
        <v>89</v>
      </c>
      <c r="L168" s="15"/>
      <c r="M168" s="15"/>
      <c r="N168" s="47"/>
      <c r="O168" s="15"/>
      <c r="P168" s="15"/>
      <c r="Q168" s="15"/>
      <c r="R168" s="15"/>
    </row>
    <row r="169" spans="1:18" x14ac:dyDescent="0.2">
      <c r="A169" s="29">
        <v>18</v>
      </c>
      <c r="B169" s="29" t="s">
        <v>100</v>
      </c>
      <c r="C169" s="29" t="s">
        <v>19</v>
      </c>
      <c r="D169" s="30">
        <v>46346</v>
      </c>
      <c r="E169" s="29" t="s">
        <v>37</v>
      </c>
      <c r="F169" s="29" t="s">
        <v>21</v>
      </c>
      <c r="G169" s="29" t="s">
        <v>22</v>
      </c>
      <c r="H169" s="29"/>
      <c r="I169" s="29" t="s">
        <v>23</v>
      </c>
      <c r="J169" s="29" t="s">
        <v>90</v>
      </c>
      <c r="K169" s="38" t="s">
        <v>23</v>
      </c>
      <c r="L169" s="15"/>
      <c r="M169" s="15"/>
      <c r="N169" s="47"/>
      <c r="O169" s="15"/>
      <c r="P169" s="15"/>
      <c r="Q169" s="15"/>
      <c r="R169" s="15"/>
    </row>
    <row r="170" spans="1:18" x14ac:dyDescent="0.2">
      <c r="A170" s="29">
        <v>18</v>
      </c>
      <c r="B170" s="29" t="s">
        <v>100</v>
      </c>
      <c r="C170" s="29" t="s">
        <v>19</v>
      </c>
      <c r="D170" s="30">
        <v>46346</v>
      </c>
      <c r="E170" s="29" t="s">
        <v>37</v>
      </c>
      <c r="F170" s="29" t="s">
        <v>28</v>
      </c>
      <c r="G170" s="29" t="s">
        <v>29</v>
      </c>
      <c r="H170" s="29">
        <v>6.5</v>
      </c>
      <c r="I170" s="29" t="s">
        <v>29</v>
      </c>
      <c r="J170" s="29" t="s">
        <v>59</v>
      </c>
      <c r="K170" s="38" t="s">
        <v>31</v>
      </c>
      <c r="L170" s="15"/>
      <c r="M170" s="15"/>
      <c r="N170" s="47"/>
      <c r="O170" s="15"/>
      <c r="P170" s="15"/>
      <c r="Q170" s="15"/>
      <c r="R170" s="15"/>
    </row>
    <row r="171" spans="1:18" x14ac:dyDescent="0.2">
      <c r="A171" s="29">
        <v>18</v>
      </c>
      <c r="B171" s="29" t="s">
        <v>100</v>
      </c>
      <c r="C171" s="29" t="s">
        <v>19</v>
      </c>
      <c r="D171" s="30">
        <v>46347</v>
      </c>
      <c r="E171" s="29" t="s">
        <v>46</v>
      </c>
      <c r="F171" s="29" t="s">
        <v>28</v>
      </c>
      <c r="G171" s="29" t="s">
        <v>47</v>
      </c>
      <c r="H171" s="29">
        <v>32</v>
      </c>
      <c r="I171" s="29" t="s">
        <v>102</v>
      </c>
      <c r="J171" s="29" t="s">
        <v>106</v>
      </c>
      <c r="K171" s="38" t="s">
        <v>104</v>
      </c>
      <c r="L171" s="15"/>
      <c r="M171" s="15"/>
      <c r="N171" s="47"/>
      <c r="O171" s="15"/>
      <c r="P171" s="15"/>
      <c r="Q171" s="15"/>
      <c r="R171" s="15"/>
    </row>
    <row r="172" spans="1:18" x14ac:dyDescent="0.2">
      <c r="A172" s="16">
        <v>19</v>
      </c>
      <c r="B172" s="16" t="s">
        <v>110</v>
      </c>
      <c r="C172" s="16" t="s">
        <v>19</v>
      </c>
      <c r="D172" s="17">
        <v>46348</v>
      </c>
      <c r="E172" s="16" t="s">
        <v>52</v>
      </c>
      <c r="F172" s="16" t="s">
        <v>53</v>
      </c>
      <c r="G172" s="16" t="s">
        <v>54</v>
      </c>
      <c r="H172" s="16"/>
      <c r="I172" s="16" t="s">
        <v>23</v>
      </c>
      <c r="J172" s="16" t="s">
        <v>55</v>
      </c>
      <c r="K172" s="38" t="s">
        <v>23</v>
      </c>
      <c r="L172" s="15"/>
      <c r="M172" s="15"/>
      <c r="N172" s="47"/>
      <c r="O172" s="15"/>
      <c r="P172" s="15"/>
      <c r="Q172" s="15"/>
      <c r="R172" s="15"/>
    </row>
    <row r="173" spans="1:18" x14ac:dyDescent="0.2">
      <c r="A173" s="31">
        <v>19</v>
      </c>
      <c r="B173" s="31" t="s">
        <v>110</v>
      </c>
      <c r="C173" s="31" t="s">
        <v>19</v>
      </c>
      <c r="D173" s="32">
        <v>46349</v>
      </c>
      <c r="E173" s="31" t="s">
        <v>56</v>
      </c>
      <c r="F173" s="31" t="s">
        <v>21</v>
      </c>
      <c r="G173" s="31" t="s">
        <v>57</v>
      </c>
      <c r="H173" s="31"/>
      <c r="I173" s="31" t="s">
        <v>23</v>
      </c>
      <c r="J173" s="31" t="s">
        <v>58</v>
      </c>
      <c r="K173" s="38" t="s">
        <v>23</v>
      </c>
      <c r="L173" s="15"/>
      <c r="M173" s="15"/>
      <c r="N173" s="47"/>
      <c r="O173" s="15"/>
      <c r="P173" s="15"/>
      <c r="Q173" s="15"/>
      <c r="R173" s="15"/>
    </row>
    <row r="174" spans="1:18" x14ac:dyDescent="0.2">
      <c r="A174" s="31">
        <v>19</v>
      </c>
      <c r="B174" s="31" t="s">
        <v>110</v>
      </c>
      <c r="C174" s="31" t="s">
        <v>19</v>
      </c>
      <c r="D174" s="32">
        <v>46349</v>
      </c>
      <c r="E174" s="31" t="s">
        <v>56</v>
      </c>
      <c r="F174" s="31" t="s">
        <v>28</v>
      </c>
      <c r="G174" s="31" t="s">
        <v>29</v>
      </c>
      <c r="H174" s="31">
        <v>5</v>
      </c>
      <c r="I174" s="31" t="s">
        <v>29</v>
      </c>
      <c r="J174" s="31" t="s">
        <v>59</v>
      </c>
      <c r="K174" s="38" t="s">
        <v>31</v>
      </c>
      <c r="L174" s="15"/>
      <c r="M174" s="15"/>
      <c r="N174" s="47"/>
      <c r="O174" s="15"/>
      <c r="P174" s="15"/>
      <c r="Q174" s="15"/>
      <c r="R174" s="15"/>
    </row>
    <row r="175" spans="1:18" x14ac:dyDescent="0.2">
      <c r="A175" s="31">
        <v>19</v>
      </c>
      <c r="B175" s="31" t="s">
        <v>110</v>
      </c>
      <c r="C175" s="31" t="s">
        <v>19</v>
      </c>
      <c r="D175" s="32">
        <v>46350</v>
      </c>
      <c r="E175" s="31" t="s">
        <v>61</v>
      </c>
      <c r="F175" s="31" t="s">
        <v>28</v>
      </c>
      <c r="G175" s="31" t="s">
        <v>72</v>
      </c>
      <c r="H175" s="31">
        <v>5</v>
      </c>
      <c r="I175" s="31" t="s">
        <v>72</v>
      </c>
      <c r="J175" s="31" t="s">
        <v>73</v>
      </c>
      <c r="K175" s="38" t="s">
        <v>111</v>
      </c>
      <c r="L175" s="15"/>
      <c r="M175" s="15"/>
      <c r="N175" s="47"/>
      <c r="O175" s="15"/>
      <c r="P175" s="15"/>
      <c r="Q175" s="15"/>
      <c r="R175" s="15"/>
    </row>
    <row r="176" spans="1:18" x14ac:dyDescent="0.2">
      <c r="A176" s="31">
        <v>19</v>
      </c>
      <c r="B176" s="31" t="s">
        <v>110</v>
      </c>
      <c r="C176" s="31" t="s">
        <v>19</v>
      </c>
      <c r="D176" s="32">
        <v>46351</v>
      </c>
      <c r="E176" s="31" t="s">
        <v>20</v>
      </c>
      <c r="F176" s="31" t="s">
        <v>21</v>
      </c>
      <c r="G176" s="31" t="s">
        <v>43</v>
      </c>
      <c r="H176" s="31"/>
      <c r="I176" s="31" t="s">
        <v>23</v>
      </c>
      <c r="J176" s="31" t="s">
        <v>65</v>
      </c>
      <c r="K176" s="38" t="s">
        <v>23</v>
      </c>
      <c r="L176" s="15"/>
      <c r="M176" s="15"/>
      <c r="N176" s="47"/>
      <c r="O176" s="15"/>
      <c r="P176" s="15"/>
      <c r="Q176" s="15"/>
      <c r="R176" s="15"/>
    </row>
    <row r="177" spans="1:18" x14ac:dyDescent="0.2">
      <c r="A177" s="31">
        <v>19</v>
      </c>
      <c r="B177" s="31" t="s">
        <v>110</v>
      </c>
      <c r="C177" s="31" t="s">
        <v>19</v>
      </c>
      <c r="D177" s="32">
        <v>46351</v>
      </c>
      <c r="E177" s="31" t="s">
        <v>20</v>
      </c>
      <c r="F177" s="31" t="s">
        <v>28</v>
      </c>
      <c r="G177" s="31" t="s">
        <v>29</v>
      </c>
      <c r="H177" s="31">
        <v>5</v>
      </c>
      <c r="I177" s="31" t="s">
        <v>29</v>
      </c>
      <c r="J177" s="31" t="s">
        <v>59</v>
      </c>
      <c r="K177" s="38" t="s">
        <v>31</v>
      </c>
      <c r="L177" s="15"/>
      <c r="M177" s="15"/>
      <c r="N177" s="47"/>
      <c r="O177" s="15"/>
      <c r="P177" s="15"/>
      <c r="Q177" s="15"/>
      <c r="R177" s="15"/>
    </row>
    <row r="178" spans="1:18" x14ac:dyDescent="0.2">
      <c r="A178" s="31">
        <v>19</v>
      </c>
      <c r="B178" s="31" t="s">
        <v>110</v>
      </c>
      <c r="C178" s="31" t="s">
        <v>19</v>
      </c>
      <c r="D178" s="32">
        <v>46352</v>
      </c>
      <c r="E178" s="31" t="s">
        <v>33</v>
      </c>
      <c r="F178" s="31" t="s">
        <v>28</v>
      </c>
      <c r="G178" s="31" t="s">
        <v>86</v>
      </c>
      <c r="H178" s="31">
        <v>10</v>
      </c>
      <c r="I178" s="31" t="s">
        <v>87</v>
      </c>
      <c r="J178" s="31" t="s">
        <v>88</v>
      </c>
      <c r="K178" s="38" t="s">
        <v>89</v>
      </c>
      <c r="L178" s="15"/>
      <c r="M178" s="15"/>
      <c r="N178" s="47"/>
      <c r="O178" s="15"/>
      <c r="P178" s="15"/>
      <c r="Q178" s="15"/>
      <c r="R178" s="15"/>
    </row>
    <row r="179" spans="1:18" x14ac:dyDescent="0.2">
      <c r="A179" s="31">
        <v>19</v>
      </c>
      <c r="B179" s="31" t="s">
        <v>110</v>
      </c>
      <c r="C179" s="31" t="s">
        <v>19</v>
      </c>
      <c r="D179" s="32">
        <v>46353</v>
      </c>
      <c r="E179" s="31" t="s">
        <v>37</v>
      </c>
      <c r="F179" s="31" t="s">
        <v>21</v>
      </c>
      <c r="G179" s="31" t="s">
        <v>22</v>
      </c>
      <c r="H179" s="31"/>
      <c r="I179" s="31" t="s">
        <v>23</v>
      </c>
      <c r="J179" s="31" t="s">
        <v>90</v>
      </c>
      <c r="K179" s="38" t="s">
        <v>23</v>
      </c>
      <c r="L179" s="15"/>
      <c r="M179" s="15"/>
      <c r="N179" s="47"/>
      <c r="O179" s="15"/>
      <c r="P179" s="15"/>
      <c r="Q179" s="15"/>
      <c r="R179" s="15"/>
    </row>
    <row r="180" spans="1:18" x14ac:dyDescent="0.2">
      <c r="A180" s="31">
        <v>19</v>
      </c>
      <c r="B180" s="31" t="s">
        <v>110</v>
      </c>
      <c r="C180" s="31" t="s">
        <v>19</v>
      </c>
      <c r="D180" s="32">
        <v>46353</v>
      </c>
      <c r="E180" s="31" t="s">
        <v>37</v>
      </c>
      <c r="F180" s="31" t="s">
        <v>28</v>
      </c>
      <c r="G180" s="31" t="s">
        <v>29</v>
      </c>
      <c r="H180" s="31">
        <v>5</v>
      </c>
      <c r="I180" s="31" t="s">
        <v>29</v>
      </c>
      <c r="J180" s="31" t="s">
        <v>59</v>
      </c>
      <c r="K180" s="38" t="s">
        <v>31</v>
      </c>
      <c r="L180" s="15"/>
      <c r="M180" s="15"/>
      <c r="N180" s="47"/>
      <c r="O180" s="15"/>
      <c r="P180" s="15"/>
      <c r="Q180" s="15"/>
      <c r="R180" s="15"/>
    </row>
    <row r="181" spans="1:18" x14ac:dyDescent="0.2">
      <c r="A181" s="31">
        <v>19</v>
      </c>
      <c r="B181" s="31" t="s">
        <v>110</v>
      </c>
      <c r="C181" s="31" t="s">
        <v>19</v>
      </c>
      <c r="D181" s="32">
        <v>46354</v>
      </c>
      <c r="E181" s="31" t="s">
        <v>46</v>
      </c>
      <c r="F181" s="31" t="s">
        <v>28</v>
      </c>
      <c r="G181" s="31" t="s">
        <v>47</v>
      </c>
      <c r="H181" s="31">
        <v>24</v>
      </c>
      <c r="I181" s="31" t="s">
        <v>102</v>
      </c>
      <c r="J181" s="31" t="s">
        <v>106</v>
      </c>
      <c r="K181" s="38" t="s">
        <v>104</v>
      </c>
      <c r="L181" s="15"/>
      <c r="M181" s="15"/>
      <c r="N181" s="47"/>
      <c r="O181" s="15"/>
      <c r="P181" s="15"/>
      <c r="Q181" s="15"/>
      <c r="R181" s="15"/>
    </row>
    <row r="182" spans="1:18" x14ac:dyDescent="0.2">
      <c r="A182" s="16">
        <v>20</v>
      </c>
      <c r="B182" s="16" t="s">
        <v>110</v>
      </c>
      <c r="C182" s="16" t="s">
        <v>19</v>
      </c>
      <c r="D182" s="17">
        <v>46355</v>
      </c>
      <c r="E182" s="16" t="s">
        <v>52</v>
      </c>
      <c r="F182" s="16" t="s">
        <v>53</v>
      </c>
      <c r="G182" s="16" t="s">
        <v>54</v>
      </c>
      <c r="H182" s="16"/>
      <c r="I182" s="16" t="s">
        <v>23</v>
      </c>
      <c r="J182" s="16" t="s">
        <v>55</v>
      </c>
      <c r="K182" s="38" t="s">
        <v>23</v>
      </c>
      <c r="L182" s="15"/>
      <c r="M182" s="15"/>
      <c r="N182" s="47"/>
      <c r="O182" s="15"/>
      <c r="P182" s="15"/>
      <c r="Q182" s="15"/>
      <c r="R182" s="15"/>
    </row>
    <row r="183" spans="1:18" x14ac:dyDescent="0.2">
      <c r="A183" s="31">
        <v>20</v>
      </c>
      <c r="B183" s="31" t="s">
        <v>110</v>
      </c>
      <c r="C183" s="31" t="s">
        <v>19</v>
      </c>
      <c r="D183" s="32">
        <v>46356</v>
      </c>
      <c r="E183" s="31" t="s">
        <v>56</v>
      </c>
      <c r="F183" s="31" t="s">
        <v>21</v>
      </c>
      <c r="G183" s="31" t="s">
        <v>57</v>
      </c>
      <c r="H183" s="31"/>
      <c r="I183" s="31" t="s">
        <v>23</v>
      </c>
      <c r="J183" s="31" t="s">
        <v>58</v>
      </c>
      <c r="K183" s="38" t="s">
        <v>23</v>
      </c>
      <c r="L183" s="15"/>
      <c r="M183" s="15"/>
      <c r="N183" s="47"/>
      <c r="O183" s="15"/>
      <c r="P183" s="15"/>
      <c r="Q183" s="15"/>
      <c r="R183" s="15"/>
    </row>
    <row r="184" spans="1:18" x14ac:dyDescent="0.2">
      <c r="A184" s="31">
        <v>20</v>
      </c>
      <c r="B184" s="31" t="s">
        <v>110</v>
      </c>
      <c r="C184" s="31" t="s">
        <v>19</v>
      </c>
      <c r="D184" s="32">
        <v>46356</v>
      </c>
      <c r="E184" s="31" t="s">
        <v>56</v>
      </c>
      <c r="F184" s="31" t="s">
        <v>28</v>
      </c>
      <c r="G184" s="31" t="s">
        <v>29</v>
      </c>
      <c r="H184" s="31">
        <v>5</v>
      </c>
      <c r="I184" s="31" t="s">
        <v>29</v>
      </c>
      <c r="J184" s="31" t="s">
        <v>59</v>
      </c>
      <c r="K184" s="38" t="s">
        <v>31</v>
      </c>
      <c r="L184" s="15"/>
      <c r="M184" s="15"/>
      <c r="N184" s="47"/>
      <c r="O184" s="15"/>
      <c r="P184" s="15"/>
      <c r="Q184" s="15"/>
      <c r="R184" s="15"/>
    </row>
    <row r="185" spans="1:18" x14ac:dyDescent="0.2">
      <c r="A185" s="31">
        <v>20</v>
      </c>
      <c r="B185" s="31" t="s">
        <v>110</v>
      </c>
      <c r="C185" s="31" t="s">
        <v>19</v>
      </c>
      <c r="D185" s="32">
        <v>46357</v>
      </c>
      <c r="E185" s="31" t="s">
        <v>61</v>
      </c>
      <c r="F185" s="31" t="s">
        <v>28</v>
      </c>
      <c r="G185" s="31" t="s">
        <v>62</v>
      </c>
      <c r="H185" s="31">
        <v>5</v>
      </c>
      <c r="I185" s="31" t="s">
        <v>62</v>
      </c>
      <c r="J185" s="31" t="s">
        <v>63</v>
      </c>
      <c r="K185" s="38" t="s">
        <v>112</v>
      </c>
      <c r="L185" s="15"/>
      <c r="M185" s="15"/>
      <c r="N185" s="47"/>
      <c r="O185" s="15"/>
      <c r="P185" s="15"/>
      <c r="Q185" s="15"/>
      <c r="R185" s="15"/>
    </row>
    <row r="186" spans="1:18" x14ac:dyDescent="0.2">
      <c r="A186" s="31">
        <v>20</v>
      </c>
      <c r="B186" s="31" t="s">
        <v>110</v>
      </c>
      <c r="C186" s="31" t="s">
        <v>19</v>
      </c>
      <c r="D186" s="32">
        <v>46358</v>
      </c>
      <c r="E186" s="31" t="s">
        <v>20</v>
      </c>
      <c r="F186" s="31" t="s">
        <v>21</v>
      </c>
      <c r="G186" s="31" t="s">
        <v>43</v>
      </c>
      <c r="H186" s="31"/>
      <c r="I186" s="31" t="s">
        <v>23</v>
      </c>
      <c r="J186" s="31" t="s">
        <v>65</v>
      </c>
      <c r="K186" s="38" t="s">
        <v>23</v>
      </c>
      <c r="L186" s="15"/>
      <c r="M186" s="15"/>
      <c r="N186" s="47"/>
      <c r="O186" s="15"/>
      <c r="P186" s="15"/>
      <c r="Q186" s="15"/>
      <c r="R186" s="15"/>
    </row>
    <row r="187" spans="1:18" x14ac:dyDescent="0.2">
      <c r="A187" s="31">
        <v>20</v>
      </c>
      <c r="B187" s="31" t="s">
        <v>110</v>
      </c>
      <c r="C187" s="31" t="s">
        <v>19</v>
      </c>
      <c r="D187" s="32">
        <v>46358</v>
      </c>
      <c r="E187" s="31" t="s">
        <v>20</v>
      </c>
      <c r="F187" s="31" t="s">
        <v>28</v>
      </c>
      <c r="G187" s="31" t="s">
        <v>29</v>
      </c>
      <c r="H187" s="31">
        <v>5</v>
      </c>
      <c r="I187" s="31" t="s">
        <v>29</v>
      </c>
      <c r="J187" s="31" t="s">
        <v>59</v>
      </c>
      <c r="K187" s="38" t="s">
        <v>31</v>
      </c>
      <c r="L187" s="15"/>
      <c r="M187" s="15"/>
      <c r="N187" s="47"/>
      <c r="O187" s="15"/>
      <c r="P187" s="15"/>
      <c r="Q187" s="15"/>
      <c r="R187" s="15"/>
    </row>
    <row r="188" spans="1:18" x14ac:dyDescent="0.2">
      <c r="A188" s="31">
        <v>20</v>
      </c>
      <c r="B188" s="31" t="s">
        <v>110</v>
      </c>
      <c r="C188" s="31" t="s">
        <v>19</v>
      </c>
      <c r="D188" s="32">
        <v>46359</v>
      </c>
      <c r="E188" s="31" t="s">
        <v>33</v>
      </c>
      <c r="F188" s="31" t="s">
        <v>28</v>
      </c>
      <c r="G188" s="31" t="s">
        <v>86</v>
      </c>
      <c r="H188" s="31">
        <v>6</v>
      </c>
      <c r="I188" s="31" t="s">
        <v>87</v>
      </c>
      <c r="J188" s="31" t="s">
        <v>88</v>
      </c>
      <c r="K188" s="38" t="s">
        <v>89</v>
      </c>
      <c r="L188" s="15"/>
      <c r="M188" s="15"/>
      <c r="N188" s="47"/>
      <c r="O188" s="15"/>
      <c r="P188" s="15"/>
      <c r="Q188" s="15"/>
      <c r="R188" s="15"/>
    </row>
    <row r="189" spans="1:18" x14ac:dyDescent="0.2">
      <c r="A189" s="31">
        <v>20</v>
      </c>
      <c r="B189" s="31" t="s">
        <v>110</v>
      </c>
      <c r="C189" s="31" t="s">
        <v>19</v>
      </c>
      <c r="D189" s="32">
        <v>46360</v>
      </c>
      <c r="E189" s="31" t="s">
        <v>37</v>
      </c>
      <c r="F189" s="31" t="s">
        <v>21</v>
      </c>
      <c r="G189" s="31" t="s">
        <v>22</v>
      </c>
      <c r="H189" s="31"/>
      <c r="I189" s="31" t="s">
        <v>23</v>
      </c>
      <c r="J189" s="31" t="s">
        <v>90</v>
      </c>
      <c r="K189" s="38" t="s">
        <v>23</v>
      </c>
      <c r="L189" s="15"/>
      <c r="M189" s="15"/>
      <c r="N189" s="47"/>
      <c r="O189" s="15"/>
      <c r="P189" s="15"/>
      <c r="Q189" s="15"/>
      <c r="R189" s="15"/>
    </row>
    <row r="190" spans="1:18" x14ac:dyDescent="0.2">
      <c r="A190" s="31">
        <v>20</v>
      </c>
      <c r="B190" s="31" t="s">
        <v>110</v>
      </c>
      <c r="C190" s="31" t="s">
        <v>19</v>
      </c>
      <c r="D190" s="32">
        <v>46360</v>
      </c>
      <c r="E190" s="31" t="s">
        <v>37</v>
      </c>
      <c r="F190" s="31" t="s">
        <v>28</v>
      </c>
      <c r="G190" s="31" t="s">
        <v>29</v>
      </c>
      <c r="H190" s="31">
        <v>5</v>
      </c>
      <c r="I190" s="31" t="s">
        <v>29</v>
      </c>
      <c r="J190" s="31" t="s">
        <v>59</v>
      </c>
      <c r="K190" s="38" t="s">
        <v>31</v>
      </c>
      <c r="L190" s="15"/>
      <c r="M190" s="15"/>
      <c r="N190" s="47"/>
      <c r="O190" s="15"/>
      <c r="P190" s="15"/>
      <c r="Q190" s="15"/>
      <c r="R190" s="15"/>
    </row>
    <row r="191" spans="1:18" x14ac:dyDescent="0.2">
      <c r="A191" s="31">
        <v>20</v>
      </c>
      <c r="B191" s="31" t="s">
        <v>110</v>
      </c>
      <c r="C191" s="31" t="s">
        <v>19</v>
      </c>
      <c r="D191" s="32">
        <v>46361</v>
      </c>
      <c r="E191" s="31" t="s">
        <v>46</v>
      </c>
      <c r="F191" s="31" t="s">
        <v>28</v>
      </c>
      <c r="G191" s="31" t="s">
        <v>47</v>
      </c>
      <c r="H191" s="31">
        <v>16</v>
      </c>
      <c r="I191" s="31" t="s">
        <v>102</v>
      </c>
      <c r="J191" s="31" t="s">
        <v>106</v>
      </c>
      <c r="K191" s="38" t="s">
        <v>104</v>
      </c>
      <c r="L191" s="15"/>
      <c r="M191" s="15"/>
      <c r="N191" s="47"/>
      <c r="O191" s="15"/>
      <c r="P191" s="15"/>
      <c r="Q191" s="15"/>
      <c r="R191" s="15"/>
    </row>
    <row r="192" spans="1:18" x14ac:dyDescent="0.2">
      <c r="A192" s="16">
        <v>21</v>
      </c>
      <c r="B192" s="16" t="s">
        <v>110</v>
      </c>
      <c r="C192" s="16" t="s">
        <v>19</v>
      </c>
      <c r="D192" s="17">
        <v>46362</v>
      </c>
      <c r="E192" s="16" t="s">
        <v>52</v>
      </c>
      <c r="F192" s="16" t="s">
        <v>53</v>
      </c>
      <c r="G192" s="16" t="s">
        <v>54</v>
      </c>
      <c r="H192" s="16"/>
      <c r="I192" s="16" t="s">
        <v>23</v>
      </c>
      <c r="J192" s="16" t="s">
        <v>55</v>
      </c>
      <c r="K192" s="38" t="s">
        <v>23</v>
      </c>
      <c r="L192" s="15"/>
      <c r="M192" s="15"/>
      <c r="N192" s="47"/>
      <c r="O192" s="15"/>
      <c r="P192" s="15"/>
      <c r="Q192" s="15"/>
      <c r="R192" s="15"/>
    </row>
    <row r="193" spans="1:18" x14ac:dyDescent="0.2">
      <c r="A193" s="31">
        <v>21</v>
      </c>
      <c r="B193" s="31" t="s">
        <v>110</v>
      </c>
      <c r="C193" s="31" t="s">
        <v>19</v>
      </c>
      <c r="D193" s="32">
        <v>46363</v>
      </c>
      <c r="E193" s="31" t="s">
        <v>56</v>
      </c>
      <c r="F193" s="31" t="s">
        <v>21</v>
      </c>
      <c r="G193" s="31" t="s">
        <v>57</v>
      </c>
      <c r="H193" s="31"/>
      <c r="I193" s="31" t="s">
        <v>23</v>
      </c>
      <c r="J193" s="31" t="s">
        <v>113</v>
      </c>
      <c r="K193" s="38" t="s">
        <v>23</v>
      </c>
      <c r="L193" s="15"/>
      <c r="M193" s="15"/>
      <c r="N193" s="47"/>
      <c r="O193" s="15"/>
      <c r="P193" s="15"/>
      <c r="Q193" s="15"/>
      <c r="R193" s="15"/>
    </row>
    <row r="194" spans="1:18" x14ac:dyDescent="0.2">
      <c r="A194" s="31">
        <v>21</v>
      </c>
      <c r="B194" s="31" t="s">
        <v>110</v>
      </c>
      <c r="C194" s="31" t="s">
        <v>19</v>
      </c>
      <c r="D194" s="32">
        <v>46363</v>
      </c>
      <c r="E194" s="31" t="s">
        <v>56</v>
      </c>
      <c r="F194" s="31" t="s">
        <v>28</v>
      </c>
      <c r="G194" s="31" t="s">
        <v>29</v>
      </c>
      <c r="H194" s="31">
        <v>3</v>
      </c>
      <c r="I194" s="31" t="s">
        <v>29</v>
      </c>
      <c r="J194" s="31" t="s">
        <v>114</v>
      </c>
      <c r="K194" s="38" t="s">
        <v>31</v>
      </c>
      <c r="L194" s="15"/>
      <c r="M194" s="15"/>
      <c r="N194" s="47"/>
      <c r="O194" s="15"/>
      <c r="P194" s="15"/>
      <c r="Q194" s="15"/>
      <c r="R194" s="15"/>
    </row>
    <row r="195" spans="1:18" x14ac:dyDescent="0.2">
      <c r="A195" s="31">
        <v>21</v>
      </c>
      <c r="B195" s="31" t="s">
        <v>110</v>
      </c>
      <c r="C195" s="31" t="s">
        <v>19</v>
      </c>
      <c r="D195" s="32">
        <v>46364</v>
      </c>
      <c r="E195" s="31" t="s">
        <v>61</v>
      </c>
      <c r="F195" s="31" t="s">
        <v>28</v>
      </c>
      <c r="G195" s="31" t="s">
        <v>115</v>
      </c>
      <c r="H195" s="31">
        <v>3</v>
      </c>
      <c r="I195" s="31" t="s">
        <v>116</v>
      </c>
      <c r="J195" s="31" t="s">
        <v>117</v>
      </c>
      <c r="K195" s="38" t="s">
        <v>115</v>
      </c>
      <c r="L195" s="15"/>
      <c r="M195" s="15"/>
      <c r="N195" s="47"/>
      <c r="O195" s="15"/>
      <c r="P195" s="15"/>
      <c r="Q195" s="15"/>
      <c r="R195" s="15"/>
    </row>
    <row r="196" spans="1:18" x14ac:dyDescent="0.2">
      <c r="A196" s="16">
        <v>21</v>
      </c>
      <c r="B196" s="16" t="s">
        <v>110</v>
      </c>
      <c r="C196" s="16" t="s">
        <v>19</v>
      </c>
      <c r="D196" s="17">
        <v>46365</v>
      </c>
      <c r="E196" s="16" t="s">
        <v>20</v>
      </c>
      <c r="F196" s="16" t="s">
        <v>53</v>
      </c>
      <c r="G196" s="16" t="s">
        <v>54</v>
      </c>
      <c r="H196" s="16"/>
      <c r="I196" s="16" t="s">
        <v>23</v>
      </c>
      <c r="J196" s="16" t="s">
        <v>118</v>
      </c>
      <c r="K196" s="38" t="s">
        <v>23</v>
      </c>
      <c r="L196" s="15"/>
      <c r="M196" s="15"/>
      <c r="N196" s="47"/>
      <c r="O196" s="15"/>
      <c r="P196" s="15"/>
      <c r="Q196" s="15"/>
      <c r="R196" s="15"/>
    </row>
    <row r="197" spans="1:18" x14ac:dyDescent="0.2">
      <c r="A197" s="16">
        <v>21</v>
      </c>
      <c r="B197" s="16" t="s">
        <v>110</v>
      </c>
      <c r="C197" s="16" t="s">
        <v>19</v>
      </c>
      <c r="D197" s="17">
        <v>46366</v>
      </c>
      <c r="E197" s="16" t="s">
        <v>33</v>
      </c>
      <c r="F197" s="16" t="s">
        <v>53</v>
      </c>
      <c r="G197" s="16" t="s">
        <v>54</v>
      </c>
      <c r="H197" s="16"/>
      <c r="I197" s="16" t="s">
        <v>23</v>
      </c>
      <c r="J197" s="16" t="s">
        <v>119</v>
      </c>
      <c r="K197" s="38" t="s">
        <v>23</v>
      </c>
      <c r="L197" s="15"/>
      <c r="M197" s="15"/>
      <c r="N197" s="47"/>
      <c r="O197" s="15"/>
      <c r="P197" s="15"/>
      <c r="Q197" s="15"/>
      <c r="R197" s="15"/>
    </row>
    <row r="198" spans="1:18" x14ac:dyDescent="0.2">
      <c r="A198" s="31">
        <v>21</v>
      </c>
      <c r="B198" s="31" t="s">
        <v>110</v>
      </c>
      <c r="C198" s="31" t="s">
        <v>19</v>
      </c>
      <c r="D198" s="32">
        <v>46367</v>
      </c>
      <c r="E198" s="31" t="s">
        <v>37</v>
      </c>
      <c r="F198" s="31" t="s">
        <v>28</v>
      </c>
      <c r="G198" s="31" t="s">
        <v>120</v>
      </c>
      <c r="H198" s="31">
        <v>2.5</v>
      </c>
      <c r="I198" s="31" t="s">
        <v>29</v>
      </c>
      <c r="J198" s="31" t="s">
        <v>121</v>
      </c>
      <c r="K198" s="38" t="s">
        <v>120</v>
      </c>
      <c r="L198" s="15"/>
      <c r="M198" s="15"/>
      <c r="N198" s="47"/>
      <c r="O198" s="15"/>
      <c r="P198" s="15"/>
      <c r="Q198" s="15"/>
      <c r="R198" s="15"/>
    </row>
    <row r="199" spans="1:18" x14ac:dyDescent="0.2">
      <c r="A199" s="33">
        <v>21</v>
      </c>
      <c r="B199" s="33" t="s">
        <v>110</v>
      </c>
      <c r="C199" s="33" t="s">
        <v>19</v>
      </c>
      <c r="D199" s="34">
        <v>46368</v>
      </c>
      <c r="E199" s="33" t="s">
        <v>46</v>
      </c>
      <c r="F199" s="33" t="s">
        <v>122</v>
      </c>
      <c r="G199" s="33" t="s">
        <v>123</v>
      </c>
      <c r="H199" s="33">
        <v>42.2</v>
      </c>
      <c r="I199" s="33" t="s">
        <v>124</v>
      </c>
      <c r="J199" s="33" t="s">
        <v>125</v>
      </c>
      <c r="K199" s="38" t="s">
        <v>126</v>
      </c>
      <c r="L199" s="15"/>
      <c r="M199" s="15"/>
      <c r="N199" s="47"/>
      <c r="O199" s="15"/>
      <c r="P199" s="15"/>
      <c r="Q199" s="15"/>
      <c r="R199" s="15"/>
    </row>
  </sheetData>
  <autoFilter ref="A1:Q199" xr:uid="{00000000-0009-0000-0000-000001000000}"/>
  <dataValidations count="2">
    <dataValidation type="list" allowBlank="1" sqref="L2:L199" xr:uid="{00000000-0002-0000-0100-000000000000}">
      <formula1>"Y,N"</formula1>
    </dataValidation>
    <dataValidation type="list" allowBlank="1" sqref="Q2:Q199" xr:uid="{00000000-0002-0000-0100-000001000000}">
      <formula1>"Great,Good,OK,Tired,Sore,Pain"</formula1>
    </dataValidation>
  </dataValidations>
  <pageMargins left="0.75" right="0.75" top="1" bottom="1" header="0.5" footer="0.5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7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3" width="16" customWidth="1"/>
    <col min="4" max="4" width="22" customWidth="1"/>
    <col min="5" max="5" width="40" customWidth="1"/>
    <col min="6" max="6" width="20" customWidth="1"/>
    <col min="7" max="7" width="22" customWidth="1"/>
    <col min="8" max="8" width="11" customWidth="1"/>
    <col min="9" max="9" width="40" customWidth="1"/>
  </cols>
  <sheetData>
    <row r="2" spans="2:9" ht="17" customHeight="1" x14ac:dyDescent="0.2">
      <c r="B2" s="40" t="s">
        <v>166</v>
      </c>
    </row>
    <row r="3" spans="2:9" ht="58" customHeight="1" x14ac:dyDescent="0.2">
      <c r="B3" s="59" t="s">
        <v>167</v>
      </c>
      <c r="C3" s="52"/>
      <c r="D3" s="52"/>
      <c r="E3" s="52"/>
      <c r="F3" s="52"/>
      <c r="G3" s="52"/>
      <c r="H3" s="52"/>
      <c r="I3" s="52"/>
    </row>
    <row r="5" spans="2:9" ht="16" customHeight="1" x14ac:dyDescent="0.2">
      <c r="B5" s="41" t="s">
        <v>10</v>
      </c>
      <c r="C5" s="41" t="s">
        <v>168</v>
      </c>
      <c r="D5" s="41" t="s">
        <v>169</v>
      </c>
      <c r="E5" s="41" t="s">
        <v>170</v>
      </c>
      <c r="F5" s="41" t="s">
        <v>171</v>
      </c>
      <c r="G5" s="41" t="s">
        <v>172</v>
      </c>
      <c r="H5" s="41" t="s">
        <v>173</v>
      </c>
      <c r="I5" s="41" t="s">
        <v>17</v>
      </c>
    </row>
    <row r="6" spans="2:9" x14ac:dyDescent="0.2">
      <c r="B6" s="56" t="s">
        <v>174</v>
      </c>
      <c r="C6" s="57"/>
      <c r="D6" s="57"/>
      <c r="E6" s="57"/>
      <c r="F6" s="57"/>
      <c r="G6" s="57"/>
      <c r="H6" s="57"/>
      <c r="I6" s="58"/>
    </row>
    <row r="7" spans="2:9" ht="32" customHeight="1" x14ac:dyDescent="0.2">
      <c r="B7" s="42" t="s">
        <v>31</v>
      </c>
      <c r="C7" s="43" t="s">
        <v>29</v>
      </c>
      <c r="D7" s="43" t="s">
        <v>23</v>
      </c>
      <c r="E7" s="43" t="s">
        <v>175</v>
      </c>
      <c r="F7" s="43" t="s">
        <v>23</v>
      </c>
      <c r="G7" s="43" t="s">
        <v>176</v>
      </c>
      <c r="H7" s="43" t="s">
        <v>177</v>
      </c>
      <c r="I7" s="43" t="s">
        <v>178</v>
      </c>
    </row>
    <row r="8" spans="2:9" ht="32" customHeight="1" x14ac:dyDescent="0.2">
      <c r="B8" s="42" t="s">
        <v>69</v>
      </c>
      <c r="C8" s="43" t="s">
        <v>67</v>
      </c>
      <c r="D8" s="43" t="s">
        <v>179</v>
      </c>
      <c r="E8" s="43" t="s">
        <v>180</v>
      </c>
      <c r="F8" s="43" t="s">
        <v>181</v>
      </c>
      <c r="G8" s="43" t="s">
        <v>182</v>
      </c>
      <c r="H8" s="43" t="s">
        <v>177</v>
      </c>
      <c r="I8" s="43" t="s">
        <v>183</v>
      </c>
    </row>
    <row r="9" spans="2:9" ht="32" customHeight="1" x14ac:dyDescent="0.2">
      <c r="B9" s="42" t="s">
        <v>89</v>
      </c>
      <c r="C9" s="43" t="s">
        <v>184</v>
      </c>
      <c r="D9" s="43" t="s">
        <v>185</v>
      </c>
      <c r="E9" s="43" t="s">
        <v>186</v>
      </c>
      <c r="F9" s="43" t="s">
        <v>187</v>
      </c>
      <c r="G9" s="43" t="s">
        <v>188</v>
      </c>
      <c r="H9" s="43" t="s">
        <v>177</v>
      </c>
      <c r="I9" s="43" t="s">
        <v>189</v>
      </c>
    </row>
    <row r="10" spans="2:9" ht="32" customHeight="1" x14ac:dyDescent="0.2">
      <c r="B10" s="42" t="s">
        <v>49</v>
      </c>
      <c r="C10" s="43" t="s">
        <v>190</v>
      </c>
      <c r="D10" s="43" t="s">
        <v>23</v>
      </c>
      <c r="E10" s="43" t="s">
        <v>191</v>
      </c>
      <c r="F10" s="43" t="s">
        <v>23</v>
      </c>
      <c r="G10" s="43" t="s">
        <v>192</v>
      </c>
      <c r="H10" s="43" t="s">
        <v>177</v>
      </c>
      <c r="I10" s="43" t="s">
        <v>193</v>
      </c>
    </row>
    <row r="11" spans="2:9" ht="32" customHeight="1" x14ac:dyDescent="0.2">
      <c r="B11" s="42" t="s">
        <v>104</v>
      </c>
      <c r="C11" s="43" t="s">
        <v>194</v>
      </c>
      <c r="D11" s="43" t="s">
        <v>195</v>
      </c>
      <c r="E11" s="43" t="s">
        <v>196</v>
      </c>
      <c r="F11" s="43" t="s">
        <v>179</v>
      </c>
      <c r="G11" s="43" t="s">
        <v>197</v>
      </c>
      <c r="H11" s="43" t="s">
        <v>177</v>
      </c>
      <c r="I11" s="43" t="s">
        <v>198</v>
      </c>
    </row>
    <row r="12" spans="2:9" x14ac:dyDescent="0.2">
      <c r="B12" s="56" t="s">
        <v>199</v>
      </c>
      <c r="C12" s="57"/>
      <c r="D12" s="57"/>
      <c r="E12" s="57"/>
      <c r="F12" s="57"/>
      <c r="G12" s="57"/>
      <c r="H12" s="57"/>
      <c r="I12" s="58"/>
    </row>
    <row r="13" spans="2:9" ht="32" customHeight="1" x14ac:dyDescent="0.2">
      <c r="B13" s="42" t="s">
        <v>64</v>
      </c>
      <c r="C13" s="43" t="s">
        <v>62</v>
      </c>
      <c r="D13" s="43" t="s">
        <v>200</v>
      </c>
      <c r="E13" s="43" t="s">
        <v>201</v>
      </c>
      <c r="F13" s="43" t="s">
        <v>202</v>
      </c>
      <c r="G13" s="43" t="s">
        <v>203</v>
      </c>
      <c r="H13" s="43">
        <v>5.5</v>
      </c>
      <c r="I13" s="43" t="s">
        <v>204</v>
      </c>
    </row>
    <row r="14" spans="2:9" ht="16" customHeight="1" x14ac:dyDescent="0.2">
      <c r="B14" s="42" t="s">
        <v>75</v>
      </c>
      <c r="C14" s="43" t="s">
        <v>62</v>
      </c>
      <c r="D14" s="43" t="s">
        <v>200</v>
      </c>
      <c r="E14" s="43" t="s">
        <v>205</v>
      </c>
      <c r="F14" s="43" t="s">
        <v>206</v>
      </c>
      <c r="G14" s="43" t="s">
        <v>203</v>
      </c>
      <c r="H14" s="43">
        <v>5.5</v>
      </c>
      <c r="I14" s="43" t="s">
        <v>207</v>
      </c>
    </row>
    <row r="15" spans="2:9" ht="16" customHeight="1" x14ac:dyDescent="0.2">
      <c r="B15" s="42" t="s">
        <v>82</v>
      </c>
      <c r="C15" s="43" t="s">
        <v>62</v>
      </c>
      <c r="D15" s="43" t="s">
        <v>208</v>
      </c>
      <c r="E15" s="43" t="s">
        <v>209</v>
      </c>
      <c r="F15" s="43" t="s">
        <v>210</v>
      </c>
      <c r="G15" s="43" t="s">
        <v>203</v>
      </c>
      <c r="H15" s="43">
        <v>5.5</v>
      </c>
      <c r="I15" s="43" t="s">
        <v>211</v>
      </c>
    </row>
    <row r="16" spans="2:9" ht="32" customHeight="1" x14ac:dyDescent="0.2">
      <c r="B16" s="42" t="s">
        <v>85</v>
      </c>
      <c r="C16" s="43" t="s">
        <v>212</v>
      </c>
      <c r="D16" s="43" t="s">
        <v>200</v>
      </c>
      <c r="E16" s="43" t="s">
        <v>213</v>
      </c>
      <c r="F16" s="43" t="s">
        <v>208</v>
      </c>
      <c r="G16" s="43" t="s">
        <v>214</v>
      </c>
      <c r="H16" s="43">
        <v>6.5</v>
      </c>
      <c r="I16" s="43" t="s">
        <v>215</v>
      </c>
    </row>
    <row r="17" spans="2:9" ht="16" customHeight="1" x14ac:dyDescent="0.2">
      <c r="B17" s="42" t="s">
        <v>92</v>
      </c>
      <c r="C17" s="43" t="s">
        <v>62</v>
      </c>
      <c r="D17" s="43" t="s">
        <v>210</v>
      </c>
      <c r="E17" s="43" t="s">
        <v>216</v>
      </c>
      <c r="F17" s="43" t="s">
        <v>217</v>
      </c>
      <c r="G17" s="43" t="s">
        <v>218</v>
      </c>
      <c r="H17" s="43">
        <v>5</v>
      </c>
      <c r="I17" s="43" t="s">
        <v>219</v>
      </c>
    </row>
    <row r="18" spans="2:9" ht="16" customHeight="1" x14ac:dyDescent="0.2">
      <c r="B18" s="42" t="s">
        <v>95</v>
      </c>
      <c r="C18" s="43" t="s">
        <v>62</v>
      </c>
      <c r="D18" s="43" t="s">
        <v>220</v>
      </c>
      <c r="E18" s="43" t="s">
        <v>221</v>
      </c>
      <c r="F18" s="43" t="s">
        <v>222</v>
      </c>
      <c r="G18" s="43" t="s">
        <v>203</v>
      </c>
      <c r="H18" s="43">
        <v>6.5</v>
      </c>
      <c r="I18" s="43" t="s">
        <v>223</v>
      </c>
    </row>
    <row r="19" spans="2:9" ht="16" customHeight="1" x14ac:dyDescent="0.2">
      <c r="B19" s="42" t="s">
        <v>101</v>
      </c>
      <c r="C19" s="43" t="s">
        <v>212</v>
      </c>
      <c r="D19" s="43" t="s">
        <v>200</v>
      </c>
      <c r="E19" s="43" t="s">
        <v>224</v>
      </c>
      <c r="F19" s="43" t="s">
        <v>210</v>
      </c>
      <c r="G19" s="43" t="s">
        <v>218</v>
      </c>
      <c r="H19" s="43">
        <v>6</v>
      </c>
      <c r="I19" s="43" t="s">
        <v>225</v>
      </c>
    </row>
    <row r="20" spans="2:9" ht="32" customHeight="1" x14ac:dyDescent="0.2">
      <c r="B20" s="42" t="s">
        <v>107</v>
      </c>
      <c r="C20" s="43" t="s">
        <v>226</v>
      </c>
      <c r="D20" s="43" t="s">
        <v>227</v>
      </c>
      <c r="E20" s="43" t="s">
        <v>228</v>
      </c>
      <c r="F20" s="43" t="s">
        <v>200</v>
      </c>
      <c r="G20" s="43" t="s">
        <v>229</v>
      </c>
      <c r="H20" s="43">
        <v>7.5</v>
      </c>
      <c r="I20" s="43" t="s">
        <v>230</v>
      </c>
    </row>
    <row r="21" spans="2:9" ht="16" customHeight="1" x14ac:dyDescent="0.2">
      <c r="B21" s="42" t="s">
        <v>109</v>
      </c>
      <c r="C21" s="43" t="s">
        <v>212</v>
      </c>
      <c r="D21" s="43" t="s">
        <v>200</v>
      </c>
      <c r="E21" s="43" t="s">
        <v>231</v>
      </c>
      <c r="F21" s="43" t="s">
        <v>210</v>
      </c>
      <c r="G21" s="43" t="s">
        <v>203</v>
      </c>
      <c r="H21" s="43">
        <v>7.5</v>
      </c>
      <c r="I21" s="43" t="s">
        <v>232</v>
      </c>
    </row>
    <row r="22" spans="2:9" ht="16" customHeight="1" x14ac:dyDescent="0.2">
      <c r="B22" s="42" t="s">
        <v>112</v>
      </c>
      <c r="C22" s="43" t="s">
        <v>62</v>
      </c>
      <c r="D22" s="43" t="s">
        <v>200</v>
      </c>
      <c r="E22" s="43" t="s">
        <v>233</v>
      </c>
      <c r="F22" s="43" t="s">
        <v>210</v>
      </c>
      <c r="G22" s="43" t="s">
        <v>203</v>
      </c>
      <c r="H22" s="43">
        <v>5</v>
      </c>
      <c r="I22" s="43" t="s">
        <v>234</v>
      </c>
    </row>
    <row r="23" spans="2:9" x14ac:dyDescent="0.2">
      <c r="B23" s="56" t="s">
        <v>235</v>
      </c>
      <c r="C23" s="57"/>
      <c r="D23" s="57"/>
      <c r="E23" s="57"/>
      <c r="F23" s="57"/>
      <c r="G23" s="57"/>
      <c r="H23" s="57"/>
      <c r="I23" s="58"/>
    </row>
    <row r="24" spans="2:9" ht="32" customHeight="1" x14ac:dyDescent="0.2">
      <c r="B24" s="42" t="s">
        <v>74</v>
      </c>
      <c r="C24" s="43" t="s">
        <v>72</v>
      </c>
      <c r="D24" s="43" t="s">
        <v>236</v>
      </c>
      <c r="E24" s="43" t="s">
        <v>237</v>
      </c>
      <c r="F24" s="43" t="s">
        <v>210</v>
      </c>
      <c r="G24" s="43" t="s">
        <v>238</v>
      </c>
      <c r="H24" s="43">
        <v>5.5</v>
      </c>
      <c r="I24" s="43" t="s">
        <v>239</v>
      </c>
    </row>
    <row r="25" spans="2:9" ht="16" customHeight="1" x14ac:dyDescent="0.2">
      <c r="B25" s="42" t="s">
        <v>79</v>
      </c>
      <c r="C25" s="43" t="s">
        <v>72</v>
      </c>
      <c r="D25" s="43" t="s">
        <v>240</v>
      </c>
      <c r="E25" s="43" t="s">
        <v>241</v>
      </c>
      <c r="F25" s="43" t="s">
        <v>222</v>
      </c>
      <c r="G25" s="43" t="s">
        <v>242</v>
      </c>
      <c r="H25" s="43">
        <v>4.5</v>
      </c>
      <c r="I25" s="43" t="s">
        <v>243</v>
      </c>
    </row>
    <row r="26" spans="2:9" ht="16" customHeight="1" x14ac:dyDescent="0.2">
      <c r="B26" s="42" t="s">
        <v>83</v>
      </c>
      <c r="C26" s="43" t="s">
        <v>72</v>
      </c>
      <c r="D26" s="43" t="s">
        <v>244</v>
      </c>
      <c r="E26" s="43" t="s">
        <v>245</v>
      </c>
      <c r="F26" s="43" t="s">
        <v>217</v>
      </c>
      <c r="G26" s="43" t="s">
        <v>242</v>
      </c>
      <c r="H26" s="43">
        <v>5.5</v>
      </c>
      <c r="I26" s="43" t="s">
        <v>246</v>
      </c>
    </row>
    <row r="27" spans="2:9" ht="16" customHeight="1" x14ac:dyDescent="0.2">
      <c r="B27" s="42" t="s">
        <v>91</v>
      </c>
      <c r="C27" s="43" t="s">
        <v>72</v>
      </c>
      <c r="D27" s="43" t="s">
        <v>236</v>
      </c>
      <c r="E27" s="43" t="s">
        <v>247</v>
      </c>
      <c r="F27" s="43" t="s">
        <v>210</v>
      </c>
      <c r="G27" s="43" t="s">
        <v>248</v>
      </c>
      <c r="H27" s="43">
        <v>6.5</v>
      </c>
      <c r="I27" s="43" t="s">
        <v>249</v>
      </c>
    </row>
    <row r="28" spans="2:9" ht="16" customHeight="1" x14ac:dyDescent="0.2">
      <c r="B28" s="42" t="s">
        <v>94</v>
      </c>
      <c r="C28" s="43" t="s">
        <v>72</v>
      </c>
      <c r="D28" s="43" t="s">
        <v>236</v>
      </c>
      <c r="E28" s="43" t="s">
        <v>250</v>
      </c>
      <c r="F28" s="43" t="s">
        <v>217</v>
      </c>
      <c r="G28" s="43" t="s">
        <v>248</v>
      </c>
      <c r="H28" s="43">
        <v>6.5</v>
      </c>
      <c r="I28" s="43" t="s">
        <v>251</v>
      </c>
    </row>
    <row r="29" spans="2:9" ht="32" customHeight="1" x14ac:dyDescent="0.2">
      <c r="B29" s="42" t="s">
        <v>105</v>
      </c>
      <c r="C29" s="43" t="s">
        <v>252</v>
      </c>
      <c r="D29" s="43" t="s">
        <v>253</v>
      </c>
      <c r="E29" s="43" t="s">
        <v>254</v>
      </c>
      <c r="F29" s="43" t="s">
        <v>200</v>
      </c>
      <c r="G29" s="43" t="s">
        <v>255</v>
      </c>
      <c r="H29" s="43">
        <v>7.5</v>
      </c>
      <c r="I29" s="43" t="s">
        <v>256</v>
      </c>
    </row>
    <row r="30" spans="2:9" ht="16" customHeight="1" x14ac:dyDescent="0.2">
      <c r="B30" s="42" t="s">
        <v>108</v>
      </c>
      <c r="C30" s="43" t="s">
        <v>72</v>
      </c>
      <c r="D30" s="43" t="s">
        <v>236</v>
      </c>
      <c r="E30" s="43" t="s">
        <v>257</v>
      </c>
      <c r="F30" s="43" t="s">
        <v>210</v>
      </c>
      <c r="G30" s="43" t="s">
        <v>258</v>
      </c>
      <c r="H30" s="43">
        <v>7.5</v>
      </c>
      <c r="I30" s="43" t="s">
        <v>259</v>
      </c>
    </row>
    <row r="31" spans="2:9" ht="16" customHeight="1" x14ac:dyDescent="0.2">
      <c r="B31" s="42" t="s">
        <v>111</v>
      </c>
      <c r="C31" s="43" t="s">
        <v>252</v>
      </c>
      <c r="D31" s="43" t="s">
        <v>260</v>
      </c>
      <c r="E31" s="43" t="s">
        <v>261</v>
      </c>
      <c r="F31" s="43" t="s">
        <v>200</v>
      </c>
      <c r="G31" s="43" t="s">
        <v>242</v>
      </c>
      <c r="H31" s="43">
        <v>5</v>
      </c>
      <c r="I31" s="43" t="s">
        <v>262</v>
      </c>
    </row>
    <row r="32" spans="2:9" x14ac:dyDescent="0.2">
      <c r="B32" s="56" t="s">
        <v>263</v>
      </c>
      <c r="C32" s="57"/>
      <c r="D32" s="57"/>
      <c r="E32" s="57"/>
      <c r="F32" s="57"/>
      <c r="G32" s="57"/>
      <c r="H32" s="57"/>
      <c r="I32" s="58"/>
    </row>
    <row r="33" spans="2:9" ht="32" customHeight="1" x14ac:dyDescent="0.2">
      <c r="B33" s="42" t="s">
        <v>41</v>
      </c>
      <c r="C33" s="43" t="s">
        <v>264</v>
      </c>
      <c r="D33" s="43" t="s">
        <v>265</v>
      </c>
      <c r="E33" s="43" t="s">
        <v>266</v>
      </c>
      <c r="F33" s="43" t="s">
        <v>210</v>
      </c>
      <c r="G33" s="43" t="s">
        <v>267</v>
      </c>
      <c r="H33" s="43">
        <v>5</v>
      </c>
      <c r="I33" s="43" t="s">
        <v>268</v>
      </c>
    </row>
    <row r="34" spans="2:9" ht="32" customHeight="1" x14ac:dyDescent="0.2">
      <c r="B34" s="42" t="s">
        <v>97</v>
      </c>
      <c r="C34" s="43" t="s">
        <v>264</v>
      </c>
      <c r="D34" s="43" t="s">
        <v>210</v>
      </c>
      <c r="E34" s="43" t="s">
        <v>269</v>
      </c>
      <c r="F34" s="43" t="s">
        <v>270</v>
      </c>
      <c r="G34" s="43" t="s">
        <v>271</v>
      </c>
      <c r="H34" s="43">
        <v>21.1</v>
      </c>
      <c r="I34" s="43" t="s">
        <v>272</v>
      </c>
    </row>
    <row r="35" spans="2:9" ht="32" customHeight="1" x14ac:dyDescent="0.2">
      <c r="B35" s="42" t="s">
        <v>115</v>
      </c>
      <c r="C35" s="43" t="s">
        <v>273</v>
      </c>
      <c r="D35" s="43" t="s">
        <v>23</v>
      </c>
      <c r="E35" s="43" t="s">
        <v>274</v>
      </c>
      <c r="F35" s="43" t="s">
        <v>23</v>
      </c>
      <c r="G35" s="43" t="s">
        <v>275</v>
      </c>
      <c r="H35" s="43">
        <v>3</v>
      </c>
      <c r="I35" s="43" t="s">
        <v>276</v>
      </c>
    </row>
    <row r="36" spans="2:9" ht="32" customHeight="1" x14ac:dyDescent="0.2">
      <c r="B36" s="42" t="s">
        <v>120</v>
      </c>
      <c r="C36" s="43" t="s">
        <v>273</v>
      </c>
      <c r="D36" s="43" t="s">
        <v>23</v>
      </c>
      <c r="E36" s="43" t="s">
        <v>277</v>
      </c>
      <c r="F36" s="43" t="s">
        <v>23</v>
      </c>
      <c r="G36" s="43" t="s">
        <v>278</v>
      </c>
      <c r="H36" s="43">
        <v>2.5</v>
      </c>
      <c r="I36" s="43" t="s">
        <v>279</v>
      </c>
    </row>
    <row r="37" spans="2:9" ht="32" customHeight="1" x14ac:dyDescent="0.2">
      <c r="B37" s="42" t="s">
        <v>126</v>
      </c>
      <c r="C37" s="43" t="s">
        <v>122</v>
      </c>
      <c r="D37" s="43" t="s">
        <v>280</v>
      </c>
      <c r="E37" s="43" t="s">
        <v>281</v>
      </c>
      <c r="F37" s="43" t="s">
        <v>282</v>
      </c>
      <c r="G37" s="43" t="s">
        <v>283</v>
      </c>
      <c r="H37" s="43">
        <v>42.2</v>
      </c>
      <c r="I37" s="43" t="s">
        <v>284</v>
      </c>
    </row>
  </sheetData>
  <mergeCells count="5">
    <mergeCell ref="B12:I12"/>
    <mergeCell ref="B6:I6"/>
    <mergeCell ref="B3:I3"/>
    <mergeCell ref="B23:I23"/>
    <mergeCell ref="B32:I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3" width="14" customWidth="1"/>
    <col min="4" max="4" width="16" customWidth="1"/>
    <col min="5" max="6" width="12" customWidth="1"/>
    <col min="7" max="7" width="9" customWidth="1"/>
    <col min="8" max="8" width="10" customWidth="1"/>
  </cols>
  <sheetData>
    <row r="1" spans="1:8" x14ac:dyDescent="0.2">
      <c r="A1" s="5" t="s">
        <v>0</v>
      </c>
      <c r="B1" s="5" t="s">
        <v>1</v>
      </c>
      <c r="C1" s="5" t="s">
        <v>285</v>
      </c>
      <c r="D1" s="5" t="s">
        <v>286</v>
      </c>
      <c r="E1" s="5" t="s">
        <v>7</v>
      </c>
      <c r="F1" s="5" t="s">
        <v>12</v>
      </c>
      <c r="G1" s="5" t="s">
        <v>287</v>
      </c>
      <c r="H1" s="5" t="s">
        <v>288</v>
      </c>
    </row>
    <row r="2" spans="1:8" x14ac:dyDescent="0.2">
      <c r="A2" s="2">
        <v>1</v>
      </c>
      <c r="B2" s="2" t="str">
        <f>INDEX('Weekly Plan'!$B$2:$B$999,MATCH(A2,'Weekly Plan'!$A$2:$A$999,0))</f>
        <v>Base building</v>
      </c>
      <c r="C2" s="2">
        <f>COUNTIFS('Weekly Plan'!$A$2:$A$999,A2,'Weekly Plan'!$F$2:$F$999,"&lt;&gt;Rest")</f>
        <v>6</v>
      </c>
      <c r="D2" s="2">
        <f>COUNTIFS('Weekly Plan'!$A$2:$A$999,A2,'Weekly Plan'!$F$2:$F$999,"&lt;&gt;Rest",'Weekly Plan'!$L$2:$L$999,"Y")</f>
        <v>5</v>
      </c>
      <c r="E2" s="35">
        <f>SUMIFS('Weekly Plan'!$H$2:$H$999,'Weekly Plan'!$A$2:$A$999,A2)</f>
        <v>21</v>
      </c>
      <c r="F2" s="35">
        <f>SUMIFS('Weekly Plan'!$M$2:$M$999,'Weekly Plan'!$A$2:$A$999,A2)</f>
        <v>21</v>
      </c>
      <c r="G2" s="35">
        <f>IFERROR(AVERAGEIFS('Weekly Plan'!$P$2:$P$999,'Weekly Plan'!$A$2:$A$999,A2),"")</f>
        <v>4.2</v>
      </c>
      <c r="H2" s="36">
        <f t="shared" ref="H2:H22" si="0">IFERROR(D2/C2,"")</f>
        <v>0.83333333333333337</v>
      </c>
    </row>
    <row r="3" spans="1:8" x14ac:dyDescent="0.2">
      <c r="A3" s="2">
        <v>2</v>
      </c>
      <c r="B3" s="2" t="str">
        <f>INDEX('Weekly Plan'!$B$2:$B$999,MATCH(A3,'Weekly Plan'!$A$2:$A$999,0))</f>
        <v>Base building</v>
      </c>
      <c r="C3" s="2">
        <f>COUNTIFS('Weekly Plan'!$A$2:$A$999,A3,'Weekly Plan'!$F$2:$F$999,"&lt;&gt;Rest")</f>
        <v>8</v>
      </c>
      <c r="D3" s="2">
        <f>COUNTIFS('Weekly Plan'!$A$2:$A$999,A3,'Weekly Plan'!$F$2:$F$999,"&lt;&gt;Rest",'Weekly Plan'!$L$2:$L$999,"Y")</f>
        <v>2</v>
      </c>
      <c r="E3" s="35">
        <f>SUMIFS('Weekly Plan'!$H$2:$H$999,'Weekly Plan'!$A$2:$A$999,A3)</f>
        <v>29.5</v>
      </c>
      <c r="F3" s="35">
        <f>SUMIFS('Weekly Plan'!$M$2:$M$999,'Weekly Plan'!$A$2:$A$999,A3)</f>
        <v>14</v>
      </c>
      <c r="G3" s="35">
        <f>IFERROR(AVERAGEIFS('Weekly Plan'!$P$2:$P$999,'Weekly Plan'!$A$2:$A$999,A3),"")</f>
        <v>6.5</v>
      </c>
      <c r="H3" s="36">
        <f t="shared" si="0"/>
        <v>0.25</v>
      </c>
    </row>
    <row r="4" spans="1:8" x14ac:dyDescent="0.2">
      <c r="A4" s="2">
        <v>3</v>
      </c>
      <c r="B4" s="2" t="str">
        <f>INDEX('Weekly Plan'!$B$2:$B$999,MATCH(A4,'Weekly Plan'!$A$2:$A$999,0))</f>
        <v>Base building</v>
      </c>
      <c r="C4" s="2">
        <f>COUNTIFS('Weekly Plan'!$A$2:$A$999,A4,'Weekly Plan'!$F$2:$F$999,"&lt;&gt;Rest")</f>
        <v>8</v>
      </c>
      <c r="D4" s="2">
        <f>COUNTIFS('Weekly Plan'!$A$2:$A$999,A4,'Weekly Plan'!$F$2:$F$999,"&lt;&gt;Rest",'Weekly Plan'!$L$2:$L$999,"Y")</f>
        <v>0</v>
      </c>
      <c r="E4" s="35">
        <f>SUMIFS('Weekly Plan'!$H$2:$H$999,'Weekly Plan'!$A$2:$A$999,A4)</f>
        <v>32.5</v>
      </c>
      <c r="F4" s="35">
        <f>SUMIFS('Weekly Plan'!$M$2:$M$999,'Weekly Plan'!$A$2:$A$999,A4)</f>
        <v>0</v>
      </c>
      <c r="G4" s="35" t="str">
        <f>IFERROR(AVERAGEIFS('Weekly Plan'!$P$2:$P$999,'Weekly Plan'!$A$2:$A$999,A4),"")</f>
        <v/>
      </c>
      <c r="H4" s="36">
        <f t="shared" si="0"/>
        <v>0</v>
      </c>
    </row>
    <row r="5" spans="1:8" x14ac:dyDescent="0.2">
      <c r="A5" s="2">
        <v>4</v>
      </c>
      <c r="B5" s="2" t="str">
        <f>INDEX('Weekly Plan'!$B$2:$B$999,MATCH(A5,'Weekly Plan'!$A$2:$A$999,0))</f>
        <v>Base building</v>
      </c>
      <c r="C5" s="2">
        <f>COUNTIFS('Weekly Plan'!$A$2:$A$999,A5,'Weekly Plan'!$F$2:$F$999,"&lt;&gt;Rest")</f>
        <v>8</v>
      </c>
      <c r="D5" s="2">
        <f>COUNTIFS('Weekly Plan'!$A$2:$A$999,A5,'Weekly Plan'!$F$2:$F$999,"&lt;&gt;Rest",'Weekly Plan'!$L$2:$L$999,"Y")</f>
        <v>0</v>
      </c>
      <c r="E5" s="35">
        <f>SUMIFS('Weekly Plan'!$H$2:$H$999,'Weekly Plan'!$A$2:$A$999,A5)</f>
        <v>34.5</v>
      </c>
      <c r="F5" s="35">
        <f>SUMIFS('Weekly Plan'!$M$2:$M$999,'Weekly Plan'!$A$2:$A$999,A5)</f>
        <v>0</v>
      </c>
      <c r="G5" s="35" t="str">
        <f>IFERROR(AVERAGEIFS('Weekly Plan'!$P$2:$P$999,'Weekly Plan'!$A$2:$A$999,A5),"")</f>
        <v/>
      </c>
      <c r="H5" s="36">
        <f t="shared" si="0"/>
        <v>0</v>
      </c>
    </row>
    <row r="6" spans="1:8" x14ac:dyDescent="0.2">
      <c r="A6" s="2">
        <v>5</v>
      </c>
      <c r="B6" s="2" t="str">
        <f>INDEX('Weekly Plan'!$B$2:$B$999,MATCH(A6,'Weekly Plan'!$A$2:$A$999,0))</f>
        <v>Base building</v>
      </c>
      <c r="C6" s="2">
        <f>COUNTIFS('Weekly Plan'!$A$2:$A$999,A6,'Weekly Plan'!$F$2:$F$999,"&lt;&gt;Rest")</f>
        <v>8</v>
      </c>
      <c r="D6" s="2">
        <f>COUNTIFS('Weekly Plan'!$A$2:$A$999,A6,'Weekly Plan'!$F$2:$F$999,"&lt;&gt;Rest",'Weekly Plan'!$L$2:$L$999,"Y")</f>
        <v>0</v>
      </c>
      <c r="E6" s="35">
        <f>SUMIFS('Weekly Plan'!$H$2:$H$999,'Weekly Plan'!$A$2:$A$999,A6)</f>
        <v>27.5</v>
      </c>
      <c r="F6" s="35">
        <f>SUMIFS('Weekly Plan'!$M$2:$M$999,'Weekly Plan'!$A$2:$A$999,A6)</f>
        <v>0</v>
      </c>
      <c r="G6" s="35" t="str">
        <f>IFERROR(AVERAGEIFS('Weekly Plan'!$P$2:$P$999,'Weekly Plan'!$A$2:$A$999,A6),"")</f>
        <v/>
      </c>
      <c r="H6" s="36">
        <f t="shared" si="0"/>
        <v>0</v>
      </c>
    </row>
    <row r="7" spans="1:8" x14ac:dyDescent="0.2">
      <c r="A7" s="2">
        <v>6</v>
      </c>
      <c r="B7" s="2" t="str">
        <f>INDEX('Weekly Plan'!$B$2:$B$999,MATCH(A7,'Weekly Plan'!$A$2:$A$999,0))</f>
        <v>Base building</v>
      </c>
      <c r="C7" s="2">
        <f>COUNTIFS('Weekly Plan'!$A$2:$A$999,A7,'Weekly Plan'!$F$2:$F$999,"&lt;&gt;Rest")</f>
        <v>8</v>
      </c>
      <c r="D7" s="2">
        <f>COUNTIFS('Weekly Plan'!$A$2:$A$999,A7,'Weekly Plan'!$F$2:$F$999,"&lt;&gt;Rest",'Weekly Plan'!$L$2:$L$999,"Y")</f>
        <v>0</v>
      </c>
      <c r="E7" s="35">
        <f>SUMIFS('Weekly Plan'!$H$2:$H$999,'Weekly Plan'!$A$2:$A$999,A7)</f>
        <v>36.5</v>
      </c>
      <c r="F7" s="35">
        <f>SUMIFS('Weekly Plan'!$M$2:$M$999,'Weekly Plan'!$A$2:$A$999,A7)</f>
        <v>0</v>
      </c>
      <c r="G7" s="35" t="str">
        <f>IFERROR(AVERAGEIFS('Weekly Plan'!$P$2:$P$999,'Weekly Plan'!$A$2:$A$999,A7),"")</f>
        <v/>
      </c>
      <c r="H7" s="36">
        <f t="shared" si="0"/>
        <v>0</v>
      </c>
    </row>
    <row r="8" spans="1:8" x14ac:dyDescent="0.2">
      <c r="A8" s="2">
        <v>7</v>
      </c>
      <c r="B8" s="2" t="str">
        <f>INDEX('Weekly Plan'!$B$2:$B$999,MATCH(A8,'Weekly Plan'!$A$2:$A$999,0))</f>
        <v>Base building</v>
      </c>
      <c r="C8" s="2">
        <f>COUNTIFS('Weekly Plan'!$A$2:$A$999,A8,'Weekly Plan'!$F$2:$F$999,"&lt;&gt;Rest")</f>
        <v>8</v>
      </c>
      <c r="D8" s="2">
        <f>COUNTIFS('Weekly Plan'!$A$2:$A$999,A8,'Weekly Plan'!$F$2:$F$999,"&lt;&gt;Rest",'Weekly Plan'!$L$2:$L$999,"Y")</f>
        <v>0</v>
      </c>
      <c r="E8" s="35">
        <f>SUMIFS('Weekly Plan'!$H$2:$H$999,'Weekly Plan'!$A$2:$A$999,A8)</f>
        <v>40.5</v>
      </c>
      <c r="F8" s="35">
        <f>SUMIFS('Weekly Plan'!$M$2:$M$999,'Weekly Plan'!$A$2:$A$999,A8)</f>
        <v>0</v>
      </c>
      <c r="G8" s="35" t="str">
        <f>IFERROR(AVERAGEIFS('Weekly Plan'!$P$2:$P$999,'Weekly Plan'!$A$2:$A$999,A8),"")</f>
        <v/>
      </c>
      <c r="H8" s="36">
        <f t="shared" si="0"/>
        <v>0</v>
      </c>
    </row>
    <row r="9" spans="1:8" x14ac:dyDescent="0.2">
      <c r="A9" s="2">
        <v>8</v>
      </c>
      <c r="B9" s="2" t="str">
        <f>INDEX('Weekly Plan'!$B$2:$B$999,MATCH(A9,'Weekly Plan'!$A$2:$A$999,0))</f>
        <v>Aerobic build</v>
      </c>
      <c r="C9" s="2">
        <f>COUNTIFS('Weekly Plan'!$A$2:$A$999,A9,'Weekly Plan'!$F$2:$F$999,"&lt;&gt;Rest")</f>
        <v>9</v>
      </c>
      <c r="D9" s="2">
        <f>COUNTIFS('Weekly Plan'!$A$2:$A$999,A9,'Weekly Plan'!$F$2:$F$999,"&lt;&gt;Rest",'Weekly Plan'!$L$2:$L$999,"Y")</f>
        <v>0</v>
      </c>
      <c r="E9" s="35">
        <f>SUMIFS('Weekly Plan'!$H$2:$H$999,'Weekly Plan'!$A$2:$A$999,A9)</f>
        <v>50</v>
      </c>
      <c r="F9" s="35">
        <f>SUMIFS('Weekly Plan'!$M$2:$M$999,'Weekly Plan'!$A$2:$A$999,A9)</f>
        <v>0</v>
      </c>
      <c r="G9" s="35" t="str">
        <f>IFERROR(AVERAGEIFS('Weekly Plan'!$P$2:$P$999,'Weekly Plan'!$A$2:$A$999,A9),"")</f>
        <v/>
      </c>
      <c r="H9" s="36">
        <f t="shared" si="0"/>
        <v>0</v>
      </c>
    </row>
    <row r="10" spans="1:8" x14ac:dyDescent="0.2">
      <c r="A10" s="2">
        <v>9</v>
      </c>
      <c r="B10" s="2" t="str">
        <f>INDEX('Weekly Plan'!$B$2:$B$999,MATCH(A10,'Weekly Plan'!$A$2:$A$999,0))</f>
        <v>Aerobic build</v>
      </c>
      <c r="C10" s="2">
        <f>COUNTIFS('Weekly Plan'!$A$2:$A$999,A10,'Weekly Plan'!$F$2:$F$999,"&lt;&gt;Rest")</f>
        <v>9</v>
      </c>
      <c r="D10" s="2">
        <f>COUNTIFS('Weekly Plan'!$A$2:$A$999,A10,'Weekly Plan'!$F$2:$F$999,"&lt;&gt;Rest",'Weekly Plan'!$L$2:$L$999,"Y")</f>
        <v>0</v>
      </c>
      <c r="E10" s="35">
        <f>SUMIFS('Weekly Plan'!$H$2:$H$999,'Weekly Plan'!$A$2:$A$999,A10)</f>
        <v>53</v>
      </c>
      <c r="F10" s="35">
        <f>SUMIFS('Weekly Plan'!$M$2:$M$999,'Weekly Plan'!$A$2:$A$999,A10)</f>
        <v>0</v>
      </c>
      <c r="G10" s="35" t="str">
        <f>IFERROR(AVERAGEIFS('Weekly Plan'!$P$2:$P$999,'Weekly Plan'!$A$2:$A$999,A10),"")</f>
        <v/>
      </c>
      <c r="H10" s="36">
        <f t="shared" si="0"/>
        <v>0</v>
      </c>
    </row>
    <row r="11" spans="1:8" x14ac:dyDescent="0.2">
      <c r="A11" s="2">
        <v>10</v>
      </c>
      <c r="B11" s="2" t="str">
        <f>INDEX('Weekly Plan'!$B$2:$B$999,MATCH(A11,'Weekly Plan'!$A$2:$A$999,0))</f>
        <v>Aerobic build</v>
      </c>
      <c r="C11" s="2">
        <f>COUNTIFS('Weekly Plan'!$A$2:$A$999,A11,'Weekly Plan'!$F$2:$F$999,"&lt;&gt;Rest")</f>
        <v>9</v>
      </c>
      <c r="D11" s="2">
        <f>COUNTIFS('Weekly Plan'!$A$2:$A$999,A11,'Weekly Plan'!$F$2:$F$999,"&lt;&gt;Rest",'Weekly Plan'!$L$2:$L$999,"Y")</f>
        <v>0</v>
      </c>
      <c r="E11" s="35">
        <f>SUMIFS('Weekly Plan'!$H$2:$H$999,'Weekly Plan'!$A$2:$A$999,A11)</f>
        <v>41.5</v>
      </c>
      <c r="F11" s="35">
        <f>SUMIFS('Weekly Plan'!$M$2:$M$999,'Weekly Plan'!$A$2:$A$999,A11)</f>
        <v>0</v>
      </c>
      <c r="G11" s="35" t="str">
        <f>IFERROR(AVERAGEIFS('Weekly Plan'!$P$2:$P$999,'Weekly Plan'!$A$2:$A$999,A11),"")</f>
        <v/>
      </c>
      <c r="H11" s="36">
        <f t="shared" si="0"/>
        <v>0</v>
      </c>
    </row>
    <row r="12" spans="1:8" x14ac:dyDescent="0.2">
      <c r="A12" s="2">
        <v>11</v>
      </c>
      <c r="B12" s="2" t="str">
        <f>INDEX('Weekly Plan'!$B$2:$B$999,MATCH(A12,'Weekly Plan'!$A$2:$A$999,0))</f>
        <v>Aerobic build</v>
      </c>
      <c r="C12" s="2">
        <f>COUNTIFS('Weekly Plan'!$A$2:$A$999,A12,'Weekly Plan'!$F$2:$F$999,"&lt;&gt;Rest")</f>
        <v>9</v>
      </c>
      <c r="D12" s="2">
        <f>COUNTIFS('Weekly Plan'!$A$2:$A$999,A12,'Weekly Plan'!$F$2:$F$999,"&lt;&gt;Rest",'Weekly Plan'!$L$2:$L$999,"Y")</f>
        <v>0</v>
      </c>
      <c r="E12" s="35">
        <f>SUMIFS('Weekly Plan'!$H$2:$H$999,'Weekly Plan'!$A$2:$A$999,A12)</f>
        <v>52</v>
      </c>
      <c r="F12" s="35">
        <f>SUMIFS('Weekly Plan'!$M$2:$M$999,'Weekly Plan'!$A$2:$A$999,A12)</f>
        <v>0</v>
      </c>
      <c r="G12" s="35" t="str">
        <f>IFERROR(AVERAGEIFS('Weekly Plan'!$P$2:$P$999,'Weekly Plan'!$A$2:$A$999,A12),"")</f>
        <v/>
      </c>
      <c r="H12" s="36">
        <f t="shared" si="0"/>
        <v>0</v>
      </c>
    </row>
    <row r="13" spans="1:8" x14ac:dyDescent="0.2">
      <c r="A13" s="2">
        <v>12</v>
      </c>
      <c r="B13" s="2" t="str">
        <f>INDEX('Weekly Plan'!$B$2:$B$999,MATCH(A13,'Weekly Plan'!$A$2:$A$999,0))</f>
        <v>Aerobic build</v>
      </c>
      <c r="C13" s="2">
        <f>COUNTIFS('Weekly Plan'!$A$2:$A$999,A13,'Weekly Plan'!$F$2:$F$999,"&lt;&gt;Rest")</f>
        <v>9</v>
      </c>
      <c r="D13" s="2">
        <f>COUNTIFS('Weekly Plan'!$A$2:$A$999,A13,'Weekly Plan'!$F$2:$F$999,"&lt;&gt;Rest",'Weekly Plan'!$L$2:$L$999,"Y")</f>
        <v>0</v>
      </c>
      <c r="E13" s="35">
        <f>SUMIFS('Weekly Plan'!$H$2:$H$999,'Weekly Plan'!$A$2:$A$999,A13)</f>
        <v>55</v>
      </c>
      <c r="F13" s="35">
        <f>SUMIFS('Weekly Plan'!$M$2:$M$999,'Weekly Plan'!$A$2:$A$999,A13)</f>
        <v>0</v>
      </c>
      <c r="G13" s="35" t="str">
        <f>IFERROR(AVERAGEIFS('Weekly Plan'!$P$2:$P$999,'Weekly Plan'!$A$2:$A$999,A13),"")</f>
        <v/>
      </c>
      <c r="H13" s="36">
        <f t="shared" si="0"/>
        <v>0</v>
      </c>
    </row>
    <row r="14" spans="1:8" x14ac:dyDescent="0.2">
      <c r="A14" s="2">
        <v>13</v>
      </c>
      <c r="B14" s="2" t="str">
        <f>INDEX('Weekly Plan'!$B$2:$B$999,MATCH(A14,'Weekly Plan'!$A$2:$A$999,0))</f>
        <v>Aerobic build</v>
      </c>
      <c r="C14" s="2">
        <f>COUNTIFS('Weekly Plan'!$A$2:$A$999,A14,'Weekly Plan'!$F$2:$F$999,"&lt;&gt;Rest")</f>
        <v>9</v>
      </c>
      <c r="D14" s="2">
        <f>COUNTIFS('Weekly Plan'!$A$2:$A$999,A14,'Weekly Plan'!$F$2:$F$999,"&lt;&gt;Rest",'Weekly Plan'!$L$2:$L$999,"Y")</f>
        <v>0</v>
      </c>
      <c r="E14" s="35">
        <f>SUMIFS('Weekly Plan'!$H$2:$H$999,'Weekly Plan'!$A$2:$A$999,A14)</f>
        <v>51.1</v>
      </c>
      <c r="F14" s="35">
        <f>SUMIFS('Weekly Plan'!$M$2:$M$999,'Weekly Plan'!$A$2:$A$999,A14)</f>
        <v>0</v>
      </c>
      <c r="G14" s="35" t="str">
        <f>IFERROR(AVERAGEIFS('Weekly Plan'!$P$2:$P$999,'Weekly Plan'!$A$2:$A$999,A14),"")</f>
        <v/>
      </c>
      <c r="H14" s="36">
        <f t="shared" si="0"/>
        <v>0</v>
      </c>
    </row>
    <row r="15" spans="1:8" x14ac:dyDescent="0.2">
      <c r="A15" s="2">
        <v>14</v>
      </c>
      <c r="B15" s="2" t="str">
        <f>INDEX('Weekly Plan'!$B$2:$B$999,MATCH(A15,'Weekly Plan'!$A$2:$A$999,0))</f>
        <v>Peak</v>
      </c>
      <c r="C15" s="2">
        <f>COUNTIFS('Weekly Plan'!$A$2:$A$999,A15,'Weekly Plan'!$F$2:$F$999,"&lt;&gt;Rest")</f>
        <v>9</v>
      </c>
      <c r="D15" s="2">
        <f>COUNTIFS('Weekly Plan'!$A$2:$A$999,A15,'Weekly Plan'!$F$2:$F$999,"&lt;&gt;Rest",'Weekly Plan'!$L$2:$L$999,"Y")</f>
        <v>0</v>
      </c>
      <c r="E15" s="35">
        <f>SUMIFS('Weekly Plan'!$H$2:$H$999,'Weekly Plan'!$A$2:$A$999,A15)</f>
        <v>46</v>
      </c>
      <c r="F15" s="35">
        <f>SUMIFS('Weekly Plan'!$M$2:$M$999,'Weekly Plan'!$A$2:$A$999,A15)</f>
        <v>0</v>
      </c>
      <c r="G15" s="35" t="str">
        <f>IFERROR(AVERAGEIFS('Weekly Plan'!$P$2:$P$999,'Weekly Plan'!$A$2:$A$999,A15),"")</f>
        <v/>
      </c>
      <c r="H15" s="36">
        <f t="shared" si="0"/>
        <v>0</v>
      </c>
    </row>
    <row r="16" spans="1:8" x14ac:dyDescent="0.2">
      <c r="A16" s="2">
        <v>15</v>
      </c>
      <c r="B16" s="2" t="str">
        <f>INDEX('Weekly Plan'!$B$2:$B$999,MATCH(A16,'Weekly Plan'!$A$2:$A$999,0))</f>
        <v>Peak</v>
      </c>
      <c r="C16" s="2">
        <f>COUNTIFS('Weekly Plan'!$A$2:$A$999,A16,'Weekly Plan'!$F$2:$F$999,"&lt;&gt;Rest")</f>
        <v>9</v>
      </c>
      <c r="D16" s="2">
        <f>COUNTIFS('Weekly Plan'!$A$2:$A$999,A16,'Weekly Plan'!$F$2:$F$999,"&lt;&gt;Rest",'Weekly Plan'!$L$2:$L$999,"Y")</f>
        <v>0</v>
      </c>
      <c r="E16" s="35">
        <f>SUMIFS('Weekly Plan'!$H$2:$H$999,'Weekly Plan'!$A$2:$A$999,A16)</f>
        <v>62</v>
      </c>
      <c r="F16" s="35">
        <f>SUMIFS('Weekly Plan'!$M$2:$M$999,'Weekly Plan'!$A$2:$A$999,A16)</f>
        <v>0</v>
      </c>
      <c r="G16" s="35" t="str">
        <f>IFERROR(AVERAGEIFS('Weekly Plan'!$P$2:$P$999,'Weekly Plan'!$A$2:$A$999,A16),"")</f>
        <v/>
      </c>
      <c r="H16" s="36">
        <f t="shared" si="0"/>
        <v>0</v>
      </c>
    </row>
    <row r="17" spans="1:8" x14ac:dyDescent="0.2">
      <c r="A17" s="2">
        <v>16</v>
      </c>
      <c r="B17" s="2" t="str">
        <f>INDEX('Weekly Plan'!$B$2:$B$999,MATCH(A17,'Weekly Plan'!$A$2:$A$999,0))</f>
        <v>Peak</v>
      </c>
      <c r="C17" s="2">
        <f>COUNTIFS('Weekly Plan'!$A$2:$A$999,A17,'Weekly Plan'!$F$2:$F$999,"&lt;&gt;Rest")</f>
        <v>9</v>
      </c>
      <c r="D17" s="2">
        <f>COUNTIFS('Weekly Plan'!$A$2:$A$999,A17,'Weekly Plan'!$F$2:$F$999,"&lt;&gt;Rest",'Weekly Plan'!$L$2:$L$999,"Y")</f>
        <v>0</v>
      </c>
      <c r="E17" s="35">
        <f>SUMIFS('Weekly Plan'!$H$2:$H$999,'Weekly Plan'!$A$2:$A$999,A17)</f>
        <v>66</v>
      </c>
      <c r="F17" s="35">
        <f>SUMIFS('Weekly Plan'!$M$2:$M$999,'Weekly Plan'!$A$2:$A$999,A17)</f>
        <v>0</v>
      </c>
      <c r="G17" s="35" t="str">
        <f>IFERROR(AVERAGEIFS('Weekly Plan'!$P$2:$P$999,'Weekly Plan'!$A$2:$A$999,A17),"")</f>
        <v/>
      </c>
      <c r="H17" s="36">
        <f t="shared" si="0"/>
        <v>0</v>
      </c>
    </row>
    <row r="18" spans="1:8" x14ac:dyDescent="0.2">
      <c r="A18" s="2">
        <v>17</v>
      </c>
      <c r="B18" s="2" t="str">
        <f>INDEX('Weekly Plan'!$B$2:$B$999,MATCH(A18,'Weekly Plan'!$A$2:$A$999,0))</f>
        <v>Peak</v>
      </c>
      <c r="C18" s="2">
        <f>COUNTIFS('Weekly Plan'!$A$2:$A$999,A18,'Weekly Plan'!$F$2:$F$999,"&lt;&gt;Rest")</f>
        <v>9</v>
      </c>
      <c r="D18" s="2">
        <f>COUNTIFS('Weekly Plan'!$A$2:$A$999,A18,'Weekly Plan'!$F$2:$F$999,"&lt;&gt;Rest",'Weekly Plan'!$L$2:$L$999,"Y")</f>
        <v>0</v>
      </c>
      <c r="E18" s="35">
        <f>SUMIFS('Weekly Plan'!$H$2:$H$999,'Weekly Plan'!$A$2:$A$999,A18)</f>
        <v>70</v>
      </c>
      <c r="F18" s="35">
        <f>SUMIFS('Weekly Plan'!$M$2:$M$999,'Weekly Plan'!$A$2:$A$999,A18)</f>
        <v>0</v>
      </c>
      <c r="G18" s="35" t="str">
        <f>IFERROR(AVERAGEIFS('Weekly Plan'!$P$2:$P$999,'Weekly Plan'!$A$2:$A$999,A18),"")</f>
        <v/>
      </c>
      <c r="H18" s="36">
        <f t="shared" si="0"/>
        <v>0</v>
      </c>
    </row>
    <row r="19" spans="1:8" x14ac:dyDescent="0.2">
      <c r="A19" s="2">
        <v>18</v>
      </c>
      <c r="B19" s="2" t="str">
        <f>INDEX('Weekly Plan'!$B$2:$B$999,MATCH(A19,'Weekly Plan'!$A$2:$A$999,0))</f>
        <v>Peak</v>
      </c>
      <c r="C19" s="2">
        <f>COUNTIFS('Weekly Plan'!$A$2:$A$999,A19,'Weekly Plan'!$F$2:$F$999,"&lt;&gt;Rest")</f>
        <v>9</v>
      </c>
      <c r="D19" s="2">
        <f>COUNTIFS('Weekly Plan'!$A$2:$A$999,A19,'Weekly Plan'!$F$2:$F$999,"&lt;&gt;Rest",'Weekly Plan'!$L$2:$L$999,"Y")</f>
        <v>0</v>
      </c>
      <c r="E19" s="35">
        <f>SUMIFS('Weekly Plan'!$H$2:$H$999,'Weekly Plan'!$A$2:$A$999,A19)</f>
        <v>73</v>
      </c>
      <c r="F19" s="35">
        <f>SUMIFS('Weekly Plan'!$M$2:$M$999,'Weekly Plan'!$A$2:$A$999,A19)</f>
        <v>0</v>
      </c>
      <c r="G19" s="35" t="str">
        <f>IFERROR(AVERAGEIFS('Weekly Plan'!$P$2:$P$999,'Weekly Plan'!$A$2:$A$999,A19),"")</f>
        <v/>
      </c>
      <c r="H19" s="36">
        <f t="shared" si="0"/>
        <v>0</v>
      </c>
    </row>
    <row r="20" spans="1:8" x14ac:dyDescent="0.2">
      <c r="A20" s="2">
        <v>19</v>
      </c>
      <c r="B20" s="2" t="str">
        <f>INDEX('Weekly Plan'!$B$2:$B$999,MATCH(A20,'Weekly Plan'!$A$2:$A$999,0))</f>
        <v>Taper</v>
      </c>
      <c r="C20" s="2">
        <f>COUNTIFS('Weekly Plan'!$A$2:$A$999,A20,'Weekly Plan'!$F$2:$F$999,"&lt;&gt;Rest")</f>
        <v>9</v>
      </c>
      <c r="D20" s="2">
        <f>COUNTIFS('Weekly Plan'!$A$2:$A$999,A20,'Weekly Plan'!$F$2:$F$999,"&lt;&gt;Rest",'Weekly Plan'!$L$2:$L$999,"Y")</f>
        <v>0</v>
      </c>
      <c r="E20" s="35">
        <f>SUMIFS('Weekly Plan'!$H$2:$H$999,'Weekly Plan'!$A$2:$A$999,A20)</f>
        <v>54</v>
      </c>
      <c r="F20" s="35">
        <f>SUMIFS('Weekly Plan'!$M$2:$M$999,'Weekly Plan'!$A$2:$A$999,A20)</f>
        <v>0</v>
      </c>
      <c r="G20" s="35" t="str">
        <f>IFERROR(AVERAGEIFS('Weekly Plan'!$P$2:$P$999,'Weekly Plan'!$A$2:$A$999,A20),"")</f>
        <v/>
      </c>
      <c r="H20" s="36">
        <f t="shared" si="0"/>
        <v>0</v>
      </c>
    </row>
    <row r="21" spans="1:8" x14ac:dyDescent="0.2">
      <c r="A21" s="2">
        <v>20</v>
      </c>
      <c r="B21" s="2" t="str">
        <f>INDEX('Weekly Plan'!$B$2:$B$999,MATCH(A21,'Weekly Plan'!$A$2:$A$999,0))</f>
        <v>Taper</v>
      </c>
      <c r="C21" s="2">
        <f>COUNTIFS('Weekly Plan'!$A$2:$A$999,A21,'Weekly Plan'!$F$2:$F$999,"&lt;&gt;Rest")</f>
        <v>9</v>
      </c>
      <c r="D21" s="2">
        <f>COUNTIFS('Weekly Plan'!$A$2:$A$999,A21,'Weekly Plan'!$F$2:$F$999,"&lt;&gt;Rest",'Weekly Plan'!$L$2:$L$999,"Y")</f>
        <v>0</v>
      </c>
      <c r="E21" s="35">
        <f>SUMIFS('Weekly Plan'!$H$2:$H$999,'Weekly Plan'!$A$2:$A$999,A21)</f>
        <v>42</v>
      </c>
      <c r="F21" s="35">
        <f>SUMIFS('Weekly Plan'!$M$2:$M$999,'Weekly Plan'!$A$2:$A$999,A21)</f>
        <v>0</v>
      </c>
      <c r="G21" s="35" t="str">
        <f>IFERROR(AVERAGEIFS('Weekly Plan'!$P$2:$P$999,'Weekly Plan'!$A$2:$A$999,A21),"")</f>
        <v/>
      </c>
      <c r="H21" s="36">
        <f t="shared" si="0"/>
        <v>0</v>
      </c>
    </row>
    <row r="22" spans="1:8" x14ac:dyDescent="0.2">
      <c r="A22" s="2">
        <v>21</v>
      </c>
      <c r="B22" s="2" t="str">
        <f>INDEX('Weekly Plan'!$B$2:$B$999,MATCH(A22,'Weekly Plan'!$A$2:$A$999,0))</f>
        <v>Taper</v>
      </c>
      <c r="C22" s="2">
        <f>COUNTIFS('Weekly Plan'!$A$2:$A$999,A22,'Weekly Plan'!$F$2:$F$999,"&lt;&gt;Rest")</f>
        <v>5</v>
      </c>
      <c r="D22" s="2">
        <f>COUNTIFS('Weekly Plan'!$A$2:$A$999,A22,'Weekly Plan'!$F$2:$F$999,"&lt;&gt;Rest",'Weekly Plan'!$L$2:$L$999,"Y")</f>
        <v>0</v>
      </c>
      <c r="E22" s="35">
        <f>SUMIFS('Weekly Plan'!$H$2:$H$999,'Weekly Plan'!$A$2:$A$999,A22)</f>
        <v>50.7</v>
      </c>
      <c r="F22" s="35">
        <f>SUMIFS('Weekly Plan'!$M$2:$M$999,'Weekly Plan'!$A$2:$A$999,A22)</f>
        <v>0</v>
      </c>
      <c r="G22" s="35" t="str">
        <f>IFERROR(AVERAGEIFS('Weekly Plan'!$P$2:$P$999,'Weekly Plan'!$A$2:$A$999,A22),"")</f>
        <v/>
      </c>
      <c r="H22" s="36">
        <f t="shared" si="0"/>
        <v>0</v>
      </c>
    </row>
    <row r="24" spans="1:8" x14ac:dyDescent="0.2">
      <c r="A24" s="60" t="s">
        <v>289</v>
      </c>
      <c r="B24" s="52"/>
      <c r="C24" s="52"/>
      <c r="D24" s="52"/>
      <c r="E24" s="52"/>
      <c r="F24" s="52"/>
      <c r="G24" s="52"/>
      <c r="H24" s="52"/>
    </row>
  </sheetData>
  <autoFilter ref="A1:H22" xr:uid="{00000000-0009-0000-0000-000003000000}"/>
  <mergeCells count="1">
    <mergeCell ref="A24:H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34" customWidth="1"/>
    <col min="4" max="4" width="50" customWidth="1"/>
    <col min="5" max="5" width="16" customWidth="1"/>
  </cols>
  <sheetData>
    <row r="1" spans="1:5" x14ac:dyDescent="0.2">
      <c r="A1" s="5" t="s">
        <v>3</v>
      </c>
      <c r="B1" s="5" t="s">
        <v>290</v>
      </c>
      <c r="C1" s="5" t="s">
        <v>291</v>
      </c>
      <c r="D1" s="5" t="s">
        <v>292</v>
      </c>
      <c r="E1" s="5" t="s">
        <v>293</v>
      </c>
    </row>
    <row r="2" spans="1:5" x14ac:dyDescent="0.2">
      <c r="A2" s="37">
        <v>46224</v>
      </c>
      <c r="B2" s="2" t="s">
        <v>294</v>
      </c>
      <c r="C2" s="2" t="s">
        <v>295</v>
      </c>
      <c r="D2" s="2" t="s">
        <v>296</v>
      </c>
      <c r="E2" s="2" t="s">
        <v>297</v>
      </c>
    </row>
    <row r="3" spans="1:5" x14ac:dyDescent="0.2">
      <c r="A3" s="44">
        <v>46226</v>
      </c>
      <c r="B3" t="s">
        <v>294</v>
      </c>
      <c r="C3" t="s">
        <v>298</v>
      </c>
      <c r="D3" t="s">
        <v>299</v>
      </c>
      <c r="E3" t="s">
        <v>300</v>
      </c>
    </row>
    <row r="10" spans="1:5" x14ac:dyDescent="0.2">
      <c r="A10" s="60" t="s">
        <v>301</v>
      </c>
      <c r="B10" s="52"/>
      <c r="C10" s="52"/>
      <c r="D10" s="52"/>
      <c r="E10" s="52"/>
    </row>
    <row r="11" spans="1:5" x14ac:dyDescent="0.2">
      <c r="A11" s="50">
        <v>46227</v>
      </c>
      <c r="B11" t="s">
        <v>302</v>
      </c>
      <c r="C11" t="s">
        <v>303</v>
      </c>
      <c r="D11" t="s">
        <v>304</v>
      </c>
      <c r="E11" t="s">
        <v>305</v>
      </c>
    </row>
    <row r="12" spans="1:5" x14ac:dyDescent="0.2">
      <c r="A12" s="50">
        <v>46227</v>
      </c>
      <c r="B12" t="s">
        <v>306</v>
      </c>
      <c r="C12" t="s">
        <v>307</v>
      </c>
      <c r="D12" t="s">
        <v>308</v>
      </c>
      <c r="E12" t="s">
        <v>305</v>
      </c>
    </row>
    <row r="13" spans="1:5" x14ac:dyDescent="0.2">
      <c r="A13" s="50">
        <v>46227</v>
      </c>
      <c r="B13" t="s">
        <v>309</v>
      </c>
      <c r="C13" t="s">
        <v>310</v>
      </c>
      <c r="D13" t="s">
        <v>311</v>
      </c>
      <c r="E13" t="s">
        <v>305</v>
      </c>
    </row>
    <row r="14" spans="1:5" x14ac:dyDescent="0.2">
      <c r="A14" s="50">
        <v>46227</v>
      </c>
      <c r="B14" t="s">
        <v>312</v>
      </c>
      <c r="C14" t="s">
        <v>313</v>
      </c>
      <c r="D14" t="s">
        <v>314</v>
      </c>
      <c r="E14" t="s">
        <v>305</v>
      </c>
    </row>
  </sheetData>
  <mergeCells count="1"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Weekly Plan</vt:lpstr>
      <vt:lpstr>Workouts</vt:lpstr>
      <vt:lpstr>Weekly Summary</vt:lpstr>
      <vt:lpstr>Plan 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Picon</cp:lastModifiedBy>
  <dcterms:created xsi:type="dcterms:W3CDTF">2026-07-21T16:03:20Z</dcterms:created>
  <dcterms:modified xsi:type="dcterms:W3CDTF">2026-07-29T13:55:01Z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2026-07-21T16:21:30Z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f9eeb6b2-7c5a-4d78-b6c6-257c4f5b3f91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